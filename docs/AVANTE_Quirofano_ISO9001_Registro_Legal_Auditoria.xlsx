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-REQUISITOS LEGALES" sheetId="2" state="visible" r:id="rId4"/>
    <sheet name="2-ADMISIÓN PRE-QX" sheetId="3" state="visible" r:id="rId5"/>
    <sheet name="3-ACTO QUIRÚRGICO" sheetId="4" state="visible" r:id="rId6"/>
    <sheet name="4-POST-OPERATORIO" sheetId="5" state="visible" r:id="rId7"/>
    <sheet name="5-NO CONFORMIDADES" sheetId="6" state="visible" r:id="rId8"/>
    <sheet name="6-DASHBOARD KP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<sst xmlns="http://schemas.openxmlformats.org/spreadsheetml/2006/main" count="719" uniqueCount="481">
  <si>
    <t xml:space="preserve">SISTEMA DE GESTIÓN DE CALIDAD ISO 9001</t>
  </si>
  <si>
    <t xml:space="preserve">QUIRÓFANO — AVANTE</t>
  </si>
  <si>
    <t xml:space="preserve">Registro de Requisitos Legales &amp; Checklist de Auditoría Interna</t>
  </si>
  <si>
    <t xml:space="preserve">Versión:</t>
  </si>
  <si>
    <t xml:space="preserve">1.0</t>
  </si>
  <si>
    <t xml:space="preserve">Fecha emisión:</t>
  </si>
  <si>
    <t xml:space="preserve">07/05/2026</t>
  </si>
  <si>
    <t xml:space="preserve">Clasificación:</t>
  </si>
  <si>
    <t xml:space="preserve">Uso interno — Departamento de Calidad</t>
  </si>
  <si>
    <t xml:space="preserve">Propietario:</t>
  </si>
  <si>
    <t xml:space="preserve">Director de Calidad &amp; Control — Avante</t>
  </si>
  <si>
    <t xml:space="preserve">Base legal:</t>
  </si>
  <si>
    <t xml:space="preserve">Código de Salud ES | Ley SNIS | Ley Derechos Pacientes | CSSP | MINSAL</t>
  </si>
  <si>
    <t xml:space="preserve">Revisión periódica:</t>
  </si>
  <si>
    <t xml:space="preserve">Trimestral</t>
  </si>
  <si>
    <t xml:space="preserve">CONTENIDO DEL DOCUMENTO</t>
  </si>
  <si>
    <t xml:space="preserve">Hoja 1 — REGISTRO DE REQUISITOS LEGALES</t>
  </si>
  <si>
    <t xml:space="preserve">Mapeo completo de leyes, normas y responsables</t>
  </si>
  <si>
    <t xml:space="preserve">Hoja 2 — CHECKLIST AUDITORÍA — ADMISIÓN</t>
  </si>
  <si>
    <t xml:space="preserve">Verificación preoperatoria y documentación</t>
  </si>
  <si>
    <t xml:space="preserve">Hoja 3 — CHECKLIST AUDITORÍA — QUIRÓFANO</t>
  </si>
  <si>
    <t xml:space="preserve">Acto quirúrgico: seguridad, campo estéril, checklist OMS</t>
  </si>
  <si>
    <t xml:space="preserve">Hoja 4 — CHECKLIST AUDITORÍA — POST-QX</t>
  </si>
  <si>
    <t xml:space="preserve">Recuperación, expediente, alta y seguimiento</t>
  </si>
  <si>
    <t xml:space="preserve">Hoja 5 — REGISTRO DE NO CONFORMIDADES</t>
  </si>
  <si>
    <t xml:space="preserve">Hallazgos, causas raíz y acciones correctivas</t>
  </si>
  <si>
    <t xml:space="preserve">Hoja 6 — DASHBOARD KPIs</t>
  </si>
  <si>
    <t xml:space="preserve">Indicadores clave del quirófano — seguimiento mensual</t>
  </si>
  <si>
    <t xml:space="preserve">REGISTRO DE REQUISITOS LEGALES Y NORMATIVOS — QUIRÓFANO AVANTE</t>
  </si>
  <si>
    <t xml:space="preserve">Cláusula ISO 9001:2015 §8.2.1 — Requisitos Legales y Reglamentarios Aplicables</t>
  </si>
  <si>
    <t xml:space="preserve">#</t>
  </si>
  <si>
    <t xml:space="preserve">Requisito / Obligación</t>
  </si>
  <si>
    <t xml:space="preserve">Fuente Legal</t>
  </si>
  <si>
    <t xml:space="preserve">Artículo / Referencia</t>
  </si>
  <si>
    <t xml:space="preserve">Responsable Avante</t>
  </si>
  <si>
    <t xml:space="preserve">Evidencia Requerida</t>
  </si>
  <si>
    <t xml:space="preserve">Frecuencia Revisión</t>
  </si>
  <si>
    <t xml:space="preserve">Estado Actual</t>
  </si>
  <si>
    <t xml:space="preserve">Fecha Próx. Revisión</t>
  </si>
  <si>
    <t xml:space="preserve">Observaciones</t>
  </si>
  <si>
    <t xml:space="preserve">01</t>
  </si>
  <si>
    <t xml:space="preserve">Licencia de funcionamiento de hospital/clínica con quirófano vigente</t>
  </si>
  <si>
    <t xml:space="preserve">Código de Salud</t>
  </si>
  <si>
    <t xml:space="preserve">Art. 14 lit. d) | Decreto 373</t>
  </si>
  <si>
    <t xml:space="preserve">Dirección General / Legal</t>
  </si>
  <si>
    <t xml:space="preserve">Resolución CSSP vigente en físico en el establecimiento</t>
  </si>
  <si>
    <t xml:space="preserve">Anual — renovar 60 días antes del vencimiento</t>
  </si>
  <si>
    <t xml:space="preserve">VIGENTE</t>
  </si>
  <si>
    <t xml:space="preserve">Verificar fecha exacta de vencimiento y agendar renovación</t>
  </si>
  <si>
    <t xml:space="preserve">02</t>
  </si>
  <si>
    <t xml:space="preserve">Inscripción vigente en CSSP de cada médico cirujano que opera en Avante</t>
  </si>
  <si>
    <t xml:space="preserve">Ley CSSP / Junta Vigilancia Médica</t>
  </si>
  <si>
    <t xml:space="preserve">Art. 10 Ley CSSP | Junta Vigilancia Profesión Médica</t>
  </si>
  <si>
    <t xml:space="preserve">RRHH / Dirección Médica</t>
  </si>
  <si>
    <t xml:space="preserve">Constancias de inscripción CSSP individuales — actualizadas</t>
  </si>
  <si>
    <t xml:space="preserve">Anual por profesional — revisar trimestral</t>
  </si>
  <si>
    <t xml:space="preserve">VERIFICAR</t>
  </si>
  <si>
    <t xml:space="preserve">Crear expediente por cirujano con vencimientos en calendario</t>
  </si>
  <si>
    <t xml:space="preserve">03</t>
  </si>
  <si>
    <t xml:space="preserve">Inscripción vigente en CSSP de cada anestesiólogo</t>
  </si>
  <si>
    <t xml:space="preserve">Art. 10 Ley CSSP</t>
  </si>
  <si>
    <t xml:space="preserve">Constancias individuales de anestesiólogos</t>
  </si>
  <si>
    <t xml:space="preserve">Aplica también a anestesiólogos externos contratados por servicios</t>
  </si>
  <si>
    <t xml:space="preserve">04</t>
  </si>
  <si>
    <t xml:space="preserve">Inscripción vigente de enfermeras de quirófano (instrumentistas y circulantes)</t>
  </si>
  <si>
    <t xml:space="preserve">Ley CSSP / Junta Vigilancia Enfermería</t>
  </si>
  <si>
    <t xml:space="preserve">RRHH</t>
  </si>
  <si>
    <t xml:space="preserve">Constancias de inscripción Junta de Enfermería</t>
  </si>
  <si>
    <t xml:space="preserve">Anual</t>
  </si>
  <si>
    <t xml:space="preserve">Aplica a todo el personal de enfermería con función en sala quirúrgica</t>
  </si>
  <si>
    <t xml:space="preserve">05</t>
  </si>
  <si>
    <t xml:space="preserve">Consentimiento Informado específico firmado antes de cada cirugía electiva</t>
  </si>
  <si>
    <t xml:space="preserve">Ley Derechos Pacientes y Prestadores</t>
  </si>
  <si>
    <t xml:space="preserve">Arts. 16 y 17</t>
  </si>
  <si>
    <t xml:space="preserve">Médico Cirujano tratante</t>
  </si>
  <si>
    <t xml:space="preserve">Formulario CI firmado en expediente — específico por procedimiento</t>
  </si>
  <si>
    <t xml:space="preserve">Por caso quirúrgico</t>
  </si>
  <si>
    <t xml:space="preserve">IMPLEMENTAR SOP</t>
  </si>
  <si>
    <t xml:space="preserve">Consentimiento genérico no tiene validez legal — debe ser específico al procedimiento</t>
  </si>
  <si>
    <t xml:space="preserve">06</t>
  </si>
  <si>
    <t xml:space="preserve">Protocolo documentado para cirugías de emergencia sin posibilidad de CI</t>
  </si>
  <si>
    <t xml:space="preserve">Art. 18 (excepciones al CI)</t>
  </si>
  <si>
    <t xml:space="preserve">Dirección Médica / Calidad</t>
  </si>
  <si>
    <t xml:space="preserve">SOP de emergencia + registro en expediente de situación de excepción</t>
  </si>
  <si>
    <t xml:space="preserve">Por caso de emergencia</t>
  </si>
  <si>
    <t xml:space="preserve">Debe documentarse en expediente la situación de emergencia y notificación posterior</t>
  </si>
  <si>
    <t xml:space="preserve">07</t>
  </si>
  <si>
    <t xml:space="preserve">Expediente clínico completo para cada paciente quirúrgico</t>
  </si>
  <si>
    <t xml:space="preserve">Art. 20 — Confidencialidad y completitud</t>
  </si>
  <si>
    <t xml:space="preserve">Equipo quirúrgico completo</t>
  </si>
  <si>
    <t xml:space="preserve">Expediente con: historia clínica, valoración prequirúrgica, CI, nota operatoria, registro trans-anestesia, nota postoperatoria</t>
  </si>
  <si>
    <t xml:space="preserve">Por caso quirúrgico — auditoría mensual</t>
  </si>
  <si>
    <t xml:space="preserve">IMPLEMENTAR AUDITORÍA</t>
  </si>
  <si>
    <t xml:space="preserve">Expediente incompleto es evidencia en contra en caso de demanda legal</t>
  </si>
  <si>
    <t xml:space="preserve">08</t>
  </si>
  <si>
    <t xml:space="preserve">Reporte operatorio inmediato post-cirugía (nota operatoria)</t>
  </si>
  <si>
    <t xml:space="preserve">Manual Procedimientos Quirúrgicos Seguros MINSAL</t>
  </si>
  <si>
    <t xml:space="preserve">Proceso M03.04 — Acuerdo 1404/2022</t>
  </si>
  <si>
    <t xml:space="preserve">Cirujano principal</t>
  </si>
  <si>
    <t xml:space="preserve">Nota operatoria firmada y fechada en expediente — máximo 6 horas post-cirugía</t>
  </si>
  <si>
    <t xml:space="preserve">Por caso — auditoría semanal</t>
  </si>
  <si>
    <t xml:space="preserve">Práctica actual: se llena días después. Esto es incumplimiento normativo y riesgo legal</t>
  </si>
  <si>
    <t xml:space="preserve">09</t>
  </si>
  <si>
    <t xml:space="preserve">Registro de evolución trans-anestesia</t>
  </si>
  <si>
    <t xml:space="preserve">Anestesiólogo</t>
  </si>
  <si>
    <t xml:space="preserve">Hoja de anestesia completa en expediente</t>
  </si>
  <si>
    <t xml:space="preserve">Por caso</t>
  </si>
  <si>
    <t xml:space="preserve">EN PROCESO</t>
  </si>
  <si>
    <t xml:space="preserve">Verificar que la hoja de anestesia incluya todos los campos requeridos por el manual MINSAL</t>
  </si>
  <si>
    <t xml:space="preserve">10</t>
  </si>
  <si>
    <t xml:space="preserve">Lista de Chequeo de Cirugía Segura OMS aplicada en 100% de casos</t>
  </si>
  <si>
    <t xml:space="preserve">Manual Procedimientos Quirúrgicos Seguros MINSAL | OMS</t>
  </si>
  <si>
    <t xml:space="preserve">Proceso M03.04 | WHO Surgical Safety Checklist 2009</t>
  </si>
  <si>
    <t xml:space="preserve">Enfermera instrumentista / Cirujano</t>
  </si>
  <si>
    <t xml:space="preserve">Checklist OMS (3 fases) firmado por equipo quirúrgico — en expediente</t>
  </si>
  <si>
    <t xml:space="preserve">Por caso — reporte semanal de cumplimiento</t>
  </si>
  <si>
    <t xml:space="preserve">IMPLEMENTAR</t>
  </si>
  <si>
    <t xml:space="preserve">Sign In / Time Out / Sign Out — obligatorio verbalizarlos con equipo completo presente</t>
  </si>
  <si>
    <t xml:space="preserve">11</t>
  </si>
  <si>
    <t xml:space="preserve">Conteo de instrumental y compresas antes y después de cirugía mayor</t>
  </si>
  <si>
    <t xml:space="preserve">Manual Procedimientos Básicos Enfermería MINSAL</t>
  </si>
  <si>
    <t xml:space="preserve">M03-03-P12 — Acuerdo 322/2024</t>
  </si>
  <si>
    <t xml:space="preserve">Enfermera instrumentista + circulante</t>
  </si>
  <si>
    <t xml:space="preserve">Registro firmado de conteo inicial y final — en expediente</t>
  </si>
  <si>
    <t xml:space="preserve">Previene retención de cuerpo extraño — evento adverso grave con responsabilidad penal</t>
  </si>
  <si>
    <t xml:space="preserve">12</t>
  </si>
  <si>
    <t xml:space="preserve">Protocolo de limpieza y desinfección de área quirúrgica entre casos</t>
  </si>
  <si>
    <t xml:space="preserve">M03-03-P11 — Acuerdo 322/2024</t>
  </si>
  <si>
    <t xml:space="preserve">Enfermería + Personal de limpieza capacitado</t>
  </si>
  <si>
    <t xml:space="preserve">Registro de limpieza con firma del responsable — por turno y por caso</t>
  </si>
  <si>
    <t xml:space="preserve">Por caso — auditoría mensual</t>
  </si>
  <si>
    <t xml:space="preserve">IMPLEMENTAR REGISTRO</t>
  </si>
  <si>
    <t xml:space="preserve">Registro debe incluir: productos usados, concentración, tiempo de contacto, responsable</t>
  </si>
  <si>
    <t xml:space="preserve">13</t>
  </si>
  <si>
    <t xml:space="preserve">Profilaxis antibiótica perioperatoria en tiempo (&lt; 60 min antes incisión)</t>
  </si>
  <si>
    <t xml:space="preserve">Lineamientos Técnicos MINSAL + OMS</t>
  </si>
  <si>
    <t xml:space="preserve">Buenas Prácticas Clínicas Quirúrgicas</t>
  </si>
  <si>
    <t xml:space="preserve">Anestesiólogo / Médico prescriptor</t>
  </si>
  <si>
    <t xml:space="preserve">Registro en expediente: antibiótico, dosis, hora de administración, firma</t>
  </si>
  <si>
    <t xml:space="preserve">Por caso — KPI mensual</t>
  </si>
  <si>
    <t xml:space="preserve">IMPLEMENTAR KPI</t>
  </si>
  <si>
    <t xml:space="preserve">Cumplimiento meta: &gt;95% de casos con antibiótico profiláctico en ventana correcta</t>
  </si>
  <si>
    <t xml:space="preserve">14</t>
  </si>
  <si>
    <t xml:space="preserve">Gestión escrita de quejas y reclamos de pacientes quirúrgicos</t>
  </si>
  <si>
    <t xml:space="preserve">Art. 21</t>
  </si>
  <si>
    <t xml:space="preserve">Departamento de Calidad / Atención al Cliente</t>
  </si>
  <si>
    <t xml:space="preserve">Registro de queja + respuesta escrita en plazo definido + resolución documentada</t>
  </si>
  <si>
    <t xml:space="preserve">Por evento — reporte mensual</t>
  </si>
  <si>
    <t xml:space="preserve">IMPLEMENTAR PROCESO</t>
  </si>
  <si>
    <t xml:space="preserve">La ley exige respuesta escrita — sin esto Avante incumple obligación legal</t>
  </si>
  <si>
    <t xml:space="preserve">15</t>
  </si>
  <si>
    <t xml:space="preserve">Cotización previa firmada por el paciente en cirugías electivas privadas</t>
  </si>
  <si>
    <t xml:space="preserve">Art. 23 — sector privado</t>
  </si>
  <si>
    <t xml:space="preserve">Admisión / Facturación</t>
  </si>
  <si>
    <t xml:space="preserve">Cotización quirúrgica firmada por paciente antes del procedimiento</t>
  </si>
  <si>
    <t xml:space="preserve">Cambios de costo durante cirugía deben ser justificados por escrito al paciente</t>
  </si>
  <si>
    <t xml:space="preserve">16</t>
  </si>
  <si>
    <t xml:space="preserve">Señalización de emergencias y rutas de evacuación en área quirúrgica</t>
  </si>
  <si>
    <t xml:space="preserve">Lineamientos Técnicos Cirugía Mayor Ambulatoria MINSAL</t>
  </si>
  <si>
    <t xml:space="preserve">Sección de infraestructura — CSSP requisitos de habilitación</t>
  </si>
  <si>
    <t xml:space="preserve">Infraestructura / Seguridad Ocupacional</t>
  </si>
  <si>
    <t xml:space="preserve">Inspección física documentada — señalética vigente y visible</t>
  </si>
  <si>
    <t xml:space="preserve">Semestral</t>
  </si>
  <si>
    <t xml:space="preserve">Incluye: salidas de emergencia, extintores, rutas de evacuación, plano actualizado</t>
  </si>
  <si>
    <t xml:space="preserve">17</t>
  </si>
  <si>
    <t xml:space="preserve">Capacidad de traslado o referencia a centro de mayor complejidad documentada</t>
  </si>
  <si>
    <t xml:space="preserve">Sección de complicaciones y traslado</t>
  </si>
  <si>
    <t xml:space="preserve">Dirección Médica</t>
  </si>
  <si>
    <t xml:space="preserve">SOP de referencia y traslado — convenios activos con hospitales de referencia</t>
  </si>
  <si>
    <t xml:space="preserve">Anual — convenios</t>
  </si>
  <si>
    <t xml:space="preserve">Debe existir convenio activo con al menos un hospital de referencia de mayor complejidad</t>
  </si>
  <si>
    <t xml:space="preserve">18</t>
  </si>
  <si>
    <t xml:space="preserve">Modelo de Gestión de Calidad activo (ISO 9001 o equivalente)</t>
  </si>
  <si>
    <t xml:space="preserve">Ley del Sistema Nacional Integrado de Salud</t>
  </si>
  <si>
    <t xml:space="preserve">Art. 14 — atribuciones MINSAL</t>
  </si>
  <si>
    <t xml:space="preserve">Director de Calidad &amp; Control</t>
  </si>
  <si>
    <t xml:space="preserve">SGC documentado, implementado y con ciclo de mejora activo</t>
  </si>
  <si>
    <t xml:space="preserve">Revisión anual por la dirección</t>
  </si>
  <si>
    <t xml:space="preserve">EN IMPLEMENTACIÓN</t>
  </si>
  <si>
    <t xml:space="preserve">La Ley SNIS obliga a un modelo de gestión de calidad — ISO 9001 es la respuesta formal de Avante</t>
  </si>
  <si>
    <t xml:space="preserve">19</t>
  </si>
  <si>
    <t xml:space="preserve">Responsabilidad institucional por acciones de personal contratado por servicios</t>
  </si>
  <si>
    <t xml:space="preserve">Art. 35</t>
  </si>
  <si>
    <t xml:space="preserve">Contratos de servicios con cláusulas de responsabilidad + constancias CSSP vigentes</t>
  </si>
  <si>
    <t xml:space="preserve">Por contrato — revisión anual</t>
  </si>
  <si>
    <t xml:space="preserve">VERIFICAR CONTRATOS</t>
  </si>
  <si>
    <t xml:space="preserve">Avante responde legalmente por cirujanos, anestesiólogos y personal externo que opere en sus instalaciones</t>
  </si>
  <si>
    <t xml:space="preserve">20</t>
  </si>
  <si>
    <t xml:space="preserve">Modelo de atención con gestión de calidad alineado a SNIS</t>
  </si>
  <si>
    <t xml:space="preserve">Art. 14 lit. g) — Política Nacional de Salud</t>
  </si>
  <si>
    <t xml:space="preserve">Director General / Calidad</t>
  </si>
  <si>
    <t xml:space="preserve">Manual de Calidad del Quirófano aprobado y vigente</t>
  </si>
  <si>
    <t xml:space="preserve">EN DESARROLLO</t>
  </si>
  <si>
    <t xml:space="preserve">El manual de calidad del quirófano es el documento maestro que demuestra el modelo de gestión</t>
  </si>
  <si>
    <t xml:space="preserve">CHECKLIST DE AUDITORÍA INTERNA — ADMISIÓN Y PRE-OPERATORIO</t>
  </si>
  <si>
    <t xml:space="preserve">Cláusula ISO 9001 §8.2.1 | Manual Qx Seguro MINSAL 2022 | Ley Derechos Pacientes El Salvador</t>
  </si>
  <si>
    <t xml:space="preserve">  Fecha: _____________   Auditor: _______________________   Unidad: Quirófano Avante   Firma: _________________</t>
  </si>
  <si>
    <t xml:space="preserve">Ítem de Verificación</t>
  </si>
  <si>
    <t xml:space="preserve">Base Legal / Norma</t>
  </si>
  <si>
    <t xml:space="preserve">Responsable</t>
  </si>
  <si>
    <t xml:space="preserve">Área</t>
  </si>
  <si>
    <t xml:space="preserve">Fecha de resolución</t>
  </si>
  <si>
    <t xml:space="preserve">Comentarios</t>
  </si>
  <si>
    <t xml:space="preserve">Resultado</t>
  </si>
  <si>
    <t xml:space="preserve">Hallazgo / Evidencia</t>
  </si>
  <si>
    <t xml:space="preserve">Acción Requerida</t>
  </si>
  <si>
    <t xml:space="preserve">  A. DOCUMENTACIÓN Y AUTORIZACIÓN LEGAL</t>
  </si>
  <si>
    <t xml:space="preserve">Licencia CSSP del establecimiento visible y vigente en el área</t>
  </si>
  <si>
    <t xml:space="preserve">Código de Salud Art.14 / CSSP</t>
  </si>
  <si>
    <t xml:space="preserve">Ing. Jaquelin Amaya</t>
  </si>
  <si>
    <t xml:space="preserve">Gerencia de Operaciones</t>
  </si>
  <si>
    <t xml:space="preserve">Inscripción a CONADEM vigente del cirujano que realizará el procedimiento</t>
  </si>
  <si>
    <t xml:space="preserve">Ley de CONADEM</t>
  </si>
  <si>
    <t xml:space="preserve">Ing. Harriet Lara</t>
  </si>
  <si>
    <t xml:space="preserve">Gerencia Comercial</t>
  </si>
  <si>
    <t xml:space="preserve">Anualidad de CONADEM vigente del cirujano que realizará el procedimiento (No está habilitada la posibilidad de pagar la anualidad)</t>
  </si>
  <si>
    <t xml:space="preserve">Verificación de deshabilitaciones del ejercicio médico del cirujano</t>
  </si>
  <si>
    <t xml:space="preserve">Inscripción CSSP vigente del anestesiólogo asignado</t>
  </si>
  <si>
    <t xml:space="preserve">Anualidad de CONADEM vigente del anestesiólogo asignado (No está habilitada la posibilidad de pagar la anualidad)</t>
  </si>
  <si>
    <t xml:space="preserve">Verificación de deshabilitaciones del ejercicio médico del anestesiólogo</t>
  </si>
  <si>
    <t xml:space="preserve">Inscripción CSSP vigente de enfermera instrumentista</t>
  </si>
  <si>
    <t xml:space="preserve">Ley CSSP — Junta Vigilancia Enfermería</t>
  </si>
  <si>
    <t xml:space="preserve">Lic. Elizabeth González</t>
  </si>
  <si>
    <t xml:space="preserve">Talento Humano</t>
  </si>
  <si>
    <t xml:space="preserve">  B. CONSENTIMIENTO INFORMADO Y DERECHOS DEL PACIENTE</t>
  </si>
  <si>
    <t xml:space="preserve">Consentimiento informado específico al procedimiento firmado por paciente/representante</t>
  </si>
  <si>
    <t xml:space="preserve">Ley Derechos Pacientes Art.16-17</t>
  </si>
  <si>
    <t xml:space="preserve">Dr. Josue Flores/ Lic. Abraham Medina</t>
  </si>
  <si>
    <t xml:space="preserve">Gerencia médica/ Gerencia de operaciones</t>
  </si>
  <si>
    <t xml:space="preserve">Pendiente</t>
  </si>
  <si>
    <t xml:space="preserve">CI incluye: descripción del procedimiento, riesgos, alternativas y beneficios</t>
  </si>
  <si>
    <t xml:space="preserve">Ley Derechos Pacientes Art.16</t>
  </si>
  <si>
    <t xml:space="preserve">Dr. Josue Flores/ Ing Harriet Lara</t>
  </si>
  <si>
    <t xml:space="preserve">Gerencia médica/ Gerencia Comercial</t>
  </si>
  <si>
    <t xml:space="preserve">Para menores o incapacitados: firma del representante legal documentada</t>
  </si>
  <si>
    <t xml:space="preserve">Ley Derechos Pacientes Art.17</t>
  </si>
  <si>
    <t xml:space="preserve">Cotización quirúrgica previa firmada por el paciente (sector privado)</t>
  </si>
  <si>
    <t xml:space="preserve">Ley Derechos Pacientes Art.23</t>
  </si>
  <si>
    <t xml:space="preserve">Paciente informado sobre confidencialidad de su expediente clínico</t>
  </si>
  <si>
    <t xml:space="preserve">Ley Derechos Pacientes Art.20</t>
  </si>
  <si>
    <t xml:space="preserve">Ing. Harriet Lara/Recepción</t>
  </si>
  <si>
    <t xml:space="preserve">  C. EVALUACIÓN PREOPERATORIA (Manual Qx Seguro MINSAL 2022)</t>
  </si>
  <si>
    <t xml:space="preserve">Historia clínica completa con antecedentes relevantes en expediente</t>
  </si>
  <si>
    <t xml:space="preserve">Manual Procedimientos Qx Seguros M03.04 / Proceso M03-04-01</t>
  </si>
  <si>
    <t xml:space="preserve">Dr Josue Flores/Médico cirujano</t>
  </si>
  <si>
    <t xml:space="preserve">Gerencia Médica</t>
  </si>
  <si>
    <t xml:space="preserve">Valoración prequirúrgica médica (formulario oficial) completada y firmada</t>
  </si>
  <si>
    <t xml:space="preserve">Manual Qx Seguro MINSAL — Formulario de valoración preoperatoria</t>
  </si>
  <si>
    <t xml:space="preserve">Valoración prequirúrgica de anestesia completada y firmada</t>
  </si>
  <si>
    <t xml:space="preserve">Manual Qx Seguro MINSAL — Formulario evaluación preoperatoria anestesia</t>
  </si>
  <si>
    <t xml:space="preserve">Clasificación ASA del paciente documentada</t>
  </si>
  <si>
    <t xml:space="preserve">Lineamientos CMA MINSAL / Buenas Prácticas Anestesia</t>
  </si>
  <si>
    <t xml:space="preserve">Exámenes de laboratorio preoperatorios solicitados y resultados en expediente</t>
  </si>
  <si>
    <t xml:space="preserve">Manual Qx Seguro MINSAL — Proceso M03.04</t>
  </si>
  <si>
    <t xml:space="preserve">Estudios de imagenología requeridos disponibles y revisados</t>
  </si>
  <si>
    <t xml:space="preserve">Manual Qx Seguro MINSAL</t>
  </si>
  <si>
    <t xml:space="preserve">Solicitud de banco de sangre gestionada (si aplica según procedimiento)</t>
  </si>
  <si>
    <t xml:space="preserve">Manual Qx Seguro MINSAL — Solicitud hemocomponentes</t>
  </si>
  <si>
    <t xml:space="preserve">Solicitud de sala quirúrgica con formato oficial completado</t>
  </si>
  <si>
    <t xml:space="preserve">Manual Qx Seguro MINSAL — Anexo 2a Formato solicitud de quirófano</t>
  </si>
  <si>
    <t xml:space="preserve">  D. PROGRAMACIÓN Y LOGÍSTICA QUIRÚRGICA</t>
  </si>
  <si>
    <t xml:space="preserve">Programación quirúrgica visible y actualizada en pizarra/sistema del quirófano</t>
  </si>
  <si>
    <t xml:space="preserve">Manual Qx Seguro MINSAL — Programación quirúrgica visible</t>
  </si>
  <si>
    <t xml:space="preserve">Dr. Josue Flores/ Lic Nelly Vasquez</t>
  </si>
  <si>
    <t xml:space="preserve">Caso incluido en lista de espera con criterios de priorización documentados</t>
  </si>
  <si>
    <t xml:space="preserve">Manual Qx Seguro MINSAL — Formato lista de espera</t>
  </si>
  <si>
    <t xml:space="preserve">Equipo quirúrgico completo confirmado y disponible para el caso</t>
  </si>
  <si>
    <t xml:space="preserve">SOP Programación Quirúrgica Avante — ISO 9001 §8.5</t>
  </si>
  <si>
    <t xml:space="preserve">21</t>
  </si>
  <si>
    <t xml:space="preserve">Antibiótico profiláctico prescrito y disponible (si aplica al procedimiento)</t>
  </si>
  <si>
    <t xml:space="preserve">Buenas Prácticas Clínicas Qx — OMS / MINSAL</t>
  </si>
  <si>
    <t xml:space="preserve">RESUMEN: Total ítems verificados:</t>
  </si>
  <si>
    <t xml:space="preserve">CHECKLIST DE AUDITORÍA INTERNA — ACTO QUIRÚRGICO</t>
  </si>
  <si>
    <t xml:space="preserve">Cláusula ISO 9001 §8.5 | WHO SSC | Manual Qx Seguro MINSAL 2022 | Manual Enfermería MINSAL 2024</t>
  </si>
  <si>
    <t xml:space="preserve">Fecha</t>
  </si>
  <si>
    <t xml:space="preserve">  E. PREPARACIÓN DEL QUIRÓFANO (MINSAL M03-03-P11 / M03.04)</t>
  </si>
  <si>
    <t xml:space="preserve">Limpieza y desinfección de sala completada según protocolo MINSAL antes del caso</t>
  </si>
  <si>
    <t xml:space="preserve">Manual Enf. MINSAL M03-03-P11 — Acuerdo 322/2024</t>
  </si>
  <si>
    <t xml:space="preserve">Enfermería / Personal limpieza</t>
  </si>
  <si>
    <t xml:space="preserve">Registro de limpieza con firma del responsable, productos y concentración usados</t>
  </si>
  <si>
    <t xml:space="preserve">Manual Enf. MINSAL M03-03-P11</t>
  </si>
  <si>
    <t xml:space="preserve">Lic Abraham Medina</t>
  </si>
  <si>
    <t xml:space="preserve">Instrumental quirúrgico verificado como completo y estéril antes del caso</t>
  </si>
  <si>
    <t xml:space="preserve">Manual Qx Seguro MINSAL M03.04 / Manual Enfermería</t>
  </si>
  <si>
    <t xml:space="preserve">Dr Josue Flores</t>
  </si>
  <si>
    <t xml:space="preserve">Equipo de anestesia revisado y calibrado (monitor, vaporizador, circuito)</t>
  </si>
  <si>
    <t xml:space="preserve">Buenas Prácticas de Anestesia — MINSAL / OMS</t>
  </si>
  <si>
    <t xml:space="preserve">Lic Abraham Medina/Ing Biomédico</t>
  </si>
  <si>
    <t xml:space="preserve">Temperatura y ventilación del quirófano en rango correcto (18-24°C)</t>
  </si>
  <si>
    <t xml:space="preserve">Requisitos infraestructura CSSP — Estándares JCI</t>
  </si>
  <si>
    <t xml:space="preserve">Iluminación quirúrgica funcional y verificada</t>
  </si>
  <si>
    <t xml:space="preserve">Requisitos infraestructura CSSP — habilitación</t>
  </si>
  <si>
    <t xml:space="preserve">Medicamentos de emergencia (carro de paro) verificados y disponibles</t>
  </si>
  <si>
    <t xml:space="preserve">Estándares de seguridad del paciente — MINSAL / JCI</t>
  </si>
  <si>
    <t xml:space="preserve">Lic Abraham Medina/Dr Josue Flores</t>
  </si>
  <si>
    <t xml:space="preserve">  F. RECEPCIÓN DEL PACIENTE EN SALA (Manual Qx M03-04-02-P02)</t>
  </si>
  <si>
    <t xml:space="preserve">Verificación de identidad del paciente (nombre completo + procedimiento) al ingresar a sala</t>
  </si>
  <si>
    <t xml:space="preserve">Manual Qx Seguro MINSAL M03-04-02-P02 / WHO Checklist Sign In</t>
  </si>
  <si>
    <t xml:space="preserve">Paciente en posición quirúrgica correcta verificada por cirujano</t>
  </si>
  <si>
    <t xml:space="preserve">Expediente clínico completo en sala antes del inicio del procedimiento</t>
  </si>
  <si>
    <t xml:space="preserve">Manual Qx Seguro MINSAL M03.04</t>
  </si>
  <si>
    <t xml:space="preserve">  G. WHO SURGICAL SAFETY CHECKLIST — OBLIGATORIO 3 FASES</t>
  </si>
  <si>
    <t xml:space="preserve">SIGN IN: Verificación pre-inducción completada y verbalizada con equipo</t>
  </si>
  <si>
    <t xml:space="preserve">OMS Surgical Safety Checklist 2009 / Manual Qx Seguro MINSAL</t>
  </si>
  <si>
    <t xml:space="preserve">Lic. Nelly Vasquez</t>
  </si>
  <si>
    <t xml:space="preserve">SIGN IN incluye: identidad paciente, sitio de cirugía marcado, alergias conocidas, riesgo vía aérea</t>
  </si>
  <si>
    <t xml:space="preserve">WHO SSC — Fase 1</t>
  </si>
  <si>
    <t xml:space="preserve">TIME OUT: Verificación pre-incisión completada — pausa quirúrgica verbalizada</t>
  </si>
  <si>
    <t xml:space="preserve">OMS Surgical Safety Checklist 2009 / Manual Qx MINSAL</t>
  </si>
  <si>
    <t xml:space="preserve">TIME OUT incluye: presentación equipo, confirmación procedimiento, antibiótico dado, estudios de imagen disponibles</t>
  </si>
  <si>
    <t xml:space="preserve">WHO SSC — Fase 2</t>
  </si>
  <si>
    <t xml:space="preserve">SIGN OUT: Verificación al cierre completada antes de que el paciente salga de sala</t>
  </si>
  <si>
    <t xml:space="preserve">OMS Surgical Safety Checklist 2009</t>
  </si>
  <si>
    <t xml:space="preserve">SIGN OUT incluye: nombre del procedimiento, conteo de instrumental/compresas, envío de muestras</t>
  </si>
  <si>
    <t xml:space="preserve">WHO SSC — Fase 3</t>
  </si>
  <si>
    <t xml:space="preserve">Formulario WHO Checklist firmado por equipo y archivado en expediente</t>
  </si>
  <si>
    <t xml:space="preserve">Manual Qx Seguro MINSAL — Lista de chequeo de cirugía segura</t>
  </si>
  <si>
    <t xml:space="preserve">  H. SEGURIDAD INTRAOPERATORIA</t>
  </si>
  <si>
    <t xml:space="preserve">Conteo INICIAL de instrumental, compresas y agujas registrado y firmado</t>
  </si>
  <si>
    <t xml:space="preserve">Manual Enfermería MINSAL M03-03-P12 — Acuerdo 322/2024</t>
  </si>
  <si>
    <t xml:space="preserve">Lic Nelly Vasquez</t>
  </si>
  <si>
    <t xml:space="preserve">Conteo FINAL de instrumental, compresas y agujas registrado y firmado — coincide con conteo inicial</t>
  </si>
  <si>
    <t xml:space="preserve">Manual Enfermería MINSAL M03-03-P12</t>
  </si>
  <si>
    <t xml:space="preserve">Antibiótico profiláctico administrado dentro de los 60 minutos previos a la incisión</t>
  </si>
  <si>
    <t xml:space="preserve">Guías profilaxis antibiótica perioperatoria — OMS / MINSAL</t>
  </si>
  <si>
    <t xml:space="preserve">Sitio y lado quirúrgico correcto verificados (marcado previo a incisión)</t>
  </si>
  <si>
    <t xml:space="preserve">WHO SSC / Política cirugía sitio correcto — JCI IPSG</t>
  </si>
  <si>
    <t xml:space="preserve">Ing Harriet Lara/ Dr Josue Flores/Médico Cirujano</t>
  </si>
  <si>
    <t xml:space="preserve">22</t>
  </si>
  <si>
    <t xml:space="preserve">Registro trans-anestesia completado en tiempo real durante el procedimiento</t>
  </si>
  <si>
    <t xml:space="preserve">Manual Qx Seguro MINSAL M03.04 — Registro de evolución trans-anestesia</t>
  </si>
  <si>
    <t xml:space="preserve">Ing Harriet Lara/ Dr Josue Flores/Médico anestesiólogo</t>
  </si>
  <si>
    <t xml:space="preserve">23</t>
  </si>
  <si>
    <t xml:space="preserve">Muestras para biopsia o patología correctamente etiquetadas y enviadas</t>
  </si>
  <si>
    <t xml:space="preserve">Manual Qx Seguro MINSAL — Solicitud de biopsias</t>
  </si>
  <si>
    <t xml:space="preserve">24</t>
  </si>
  <si>
    <t xml:space="preserve">Incidentes o eventos adversos intraoperatorios registrados (si aplica)</t>
  </si>
  <si>
    <t xml:space="preserve">ISO 9001 §10.2 No Conformidades / Ley Derechos Pacientes Art.33</t>
  </si>
  <si>
    <t xml:space="preserve">CHECKLIST DE AUDITORÍA INTERNA — POST-OPERATORIO Y CIERRE</t>
  </si>
  <si>
    <t xml:space="preserve">Cláusula ISO 9001 §9 y §10 | Manual Qx Seguro MINSAL 2022 | Ley Derechos Pacientes El Salvador</t>
  </si>
  <si>
    <t xml:space="preserve">  I. RECUPERACIÓN POSTOPERATORIA INMEDIATA (Manual Qx M03-04-03-P01)</t>
  </si>
  <si>
    <t xml:space="preserve">Paciente transferido a recuperación con reporte verbal completo de cirujano y anestesiólogo</t>
  </si>
  <si>
    <t xml:space="preserve">Manual Qx Seguro MINSAL M03-04-03-P01</t>
  </si>
  <si>
    <t xml:space="preserve">Lic Nelly vasquez</t>
  </si>
  <si>
    <t xml:space="preserve">Hoja de Aldrete o escala de recuperación anestésica completada</t>
  </si>
  <si>
    <t xml:space="preserve">Manual Qx Seguro MINSAL — Hoja de Aldrete</t>
  </si>
  <si>
    <t xml:space="preserve">Signos vitales monitorizados y registrados cada 15 minutos en fase de recuperación</t>
  </si>
  <si>
    <t xml:space="preserve">Manual Qx Seguro MINSAL / Estándares recuperación</t>
  </si>
  <si>
    <t xml:space="preserve">Criterios de alta de recuperación cumplidos y documentados antes del traslado</t>
  </si>
  <si>
    <t xml:space="preserve">  J. CIERRE DOCUMENTAL Y EXPEDIENTE CLÍNICO (Obligación Legal)</t>
  </si>
  <si>
    <t xml:space="preserve">Nota operatoria / Reporte operatorio completado y firmado (máx. 6 horas post-cirugía)</t>
  </si>
  <si>
    <t xml:space="preserve">Manual Qx Seguro MINSAL M03.04 Acuerdo 1404/2022 — Anexo 2b</t>
  </si>
  <si>
    <t xml:space="preserve">Harriet Lara/Dr Josue Flores/Cirujano principal</t>
  </si>
  <si>
    <t xml:space="preserve">Diagnóstico postoperatorio registrado en expediente</t>
  </si>
  <si>
    <t xml:space="preserve">Manual Qx Seguro MINSAL / Ley Derechos Pacientes Art.20</t>
  </si>
  <si>
    <t xml:space="preserve">Indicaciones postoperatorias escritas y firmadas en expediente</t>
  </si>
  <si>
    <t xml:space="preserve">Nota de anestesia postoperatoria completada</t>
  </si>
  <si>
    <t xml:space="preserve">Buenas Prácticas de Anestesia — MINSAL</t>
  </si>
  <si>
    <t xml:space="preserve">Harriet Lara/Dr Josue Flores/Médico anestesiólogo</t>
  </si>
  <si>
    <t xml:space="preserve">Expediente quirúrgico completo: CI + valoraciones preoperatorias + WHO Checklist + nota operatoria + hoja anestesia</t>
  </si>
  <si>
    <t xml:space="preserve">Ley Derechos Pacientes Art.20 / Manual Qx Seguro MINSAL</t>
  </si>
  <si>
    <t xml:space="preserve">Harriet Lara/Dr Josue Flores/Médico anestesiólogo/Lic Nelly</t>
  </si>
  <si>
    <t xml:space="preserve">Solicitud de biopsias/anatomía patológica con número de registro (si aplica)</t>
  </si>
  <si>
    <t xml:space="preserve">Dr Josue Flores/Lic Nelly</t>
  </si>
  <si>
    <t xml:space="preserve">  K. INFORMACIÓN AL PACIENTE Y DERECHOS (Ley Derechos Pacientes)</t>
  </si>
  <si>
    <t xml:space="preserve">Médico informa al paciente/familiar sobre el procedimiento realizado al despertar/alta</t>
  </si>
  <si>
    <t xml:space="preserve">Ley Derechos Pacientes Arts.16 y 20</t>
  </si>
  <si>
    <t xml:space="preserve">Instrucciones postoperatorias entregadas por escrito al paciente/familiar</t>
  </si>
  <si>
    <t xml:space="preserve">Manual Qx Seguro MINSAL / Lineamientos CMA</t>
  </si>
  <si>
    <t xml:space="preserve">Explicación de signos de alarma para consultar de emergencia</t>
  </si>
  <si>
    <t xml:space="preserve">Lineamientos Cirugía Mayor Ambulatoria MINSAL</t>
  </si>
  <si>
    <t xml:space="preserve">Si hubo modificación de costos durante la cirugía: justificación escrita entregada al paciente</t>
  </si>
  <si>
    <t xml:space="preserve">Lic Eduardo Vasquez/Médico cirujano</t>
  </si>
  <si>
    <t xml:space="preserve">  L. GESTIÓN POST-QUIRÚRGICA Y SEGUIMIENTO</t>
  </si>
  <si>
    <t xml:space="preserve">Seguimiento a los 30 días para detección de ISQ (Infección Sitio Quirúrgico)</t>
  </si>
  <si>
    <t xml:space="preserve">KPI de calidad quirúrgica — OMS / Estándares JCI</t>
  </si>
  <si>
    <t xml:space="preserve">Dr Josue Flores/Lic Javier Cervino</t>
  </si>
  <si>
    <t xml:space="preserve">Registro de complicaciones postoperatorias en el sistema de vigilancia de calidad</t>
  </si>
  <si>
    <t xml:space="preserve">ISO 9001 §10.2 / Ley SNIS Art.14 — modelo gestión calidad</t>
  </si>
  <si>
    <t xml:space="preserve">Quejas o reclamos del paciente post-quirúrgico registrados y con respuesta escrita</t>
  </si>
  <si>
    <t xml:space="preserve">Ley Derechos Pacientes Art.21</t>
  </si>
  <si>
    <t xml:space="preserve">Lic Javier Cervino</t>
  </si>
  <si>
    <t xml:space="preserve">Caso revisado en comité de morbimortalidad si hubo complicación o evento adverso</t>
  </si>
  <si>
    <t xml:space="preserve">Buenas Prácticas Clínicas / ISO 9001 §10.2</t>
  </si>
  <si>
    <t xml:space="preserve">Reintervención no planificada (si aplica) registrada como No Conformidad formal</t>
  </si>
  <si>
    <t xml:space="preserve">ISO 9001 §10.2 — No Conformidades y acciones correctivas</t>
  </si>
  <si>
    <t xml:space="preserve">REGISTRO DE NO CONFORMIDADES — QUIRÓFANO AVANTE</t>
  </si>
  <si>
    <t xml:space="preserve">ISO 9001:2015 Cláusula 10.2 — No Conformidad y Acción Correctiva | Cláusula 9.1.3 — Análisis y Evaluación</t>
  </si>
  <si>
    <t xml:space="preserve"># NC</t>
  </si>
  <si>
    <t xml:space="preserve">Fecha Detección</t>
  </si>
  <si>
    <t xml:space="preserve">Descripción de la No Conformidad</t>
  </si>
  <si>
    <t xml:space="preserve">Proceso / Área</t>
  </si>
  <si>
    <t xml:space="preserve">Origen</t>
  </si>
  <si>
    <t xml:space="preserve">Causa Raíz (5 Porqués)</t>
  </si>
  <si>
    <t xml:space="preserve">Acción Correctiva</t>
  </si>
  <si>
    <t xml:space="preserve">Fecha Límite</t>
  </si>
  <si>
    <t xml:space="preserve">Estado</t>
  </si>
  <si>
    <t xml:space="preserve">Fecha Cierre</t>
  </si>
  <si>
    <t xml:space="preserve">NC-2025-001</t>
  </si>
  <si>
    <t xml:space="preserve">Profesional de anestesiología sin inscripción CSSP vigente — encontrado en auditoría</t>
  </si>
  <si>
    <t xml:space="preserve">Quirófano / RRHH</t>
  </si>
  <si>
    <t xml:space="preserve">Auditoría interna</t>
  </si>
  <si>
    <t xml:space="preserve">No existe proceso sistemático de verificación y seguimiento de vencimientos de inscripciones profesionales</t>
  </si>
  <si>
    <t xml:space="preserve">1) Crear expediente digital por profesional con fecha de vencimiento. 2) Alerta automática 90 días antes. 3) Verificar estado actual de TODOS los profesionales esta semana.</t>
  </si>
  <si>
    <t xml:space="preserve">Ing Harriet Lara/ Dr Josue Flores</t>
  </si>
  <si>
    <t xml:space="preserve">ABIERTA</t>
  </si>
  <si>
    <t xml:space="preserve">NC-2025-002</t>
  </si>
  <si>
    <t xml:space="preserve">Consentimiento informado genérico usado para múltiples procedimientos quirúrgicos distintos</t>
  </si>
  <si>
    <t xml:space="preserve">Admisión / Quirófano</t>
  </si>
  <si>
    <t xml:space="preserve">Revisión documental</t>
  </si>
  <si>
    <t xml:space="preserve">No existe formulario específico por tipo de procedimiento; se usa un formato genérico que no cumple con el Art.16 de la Ley de Derechos de Pacientes</t>
  </si>
  <si>
    <t xml:space="preserve">1) Diseñar formularios CI específicos por los 10 procedimientos más frecuentes. 2) Validación legal. 3) Capacitar al equipo médico.</t>
  </si>
  <si>
    <t xml:space="preserve">NC-2025-003</t>
  </si>
  <si>
    <t xml:space="preserve">Nota operatoria se completa con más de 24 horas de retraso en promedio</t>
  </si>
  <si>
    <t xml:space="preserve">Quirófano / Documentación</t>
  </si>
  <si>
    <t xml:space="preserve">Auditoría de expedientes</t>
  </si>
  <si>
    <t xml:space="preserve">No hay SOP con tiempo máximo definido para completar la nota operatoria; no existe mecanismo de seguimiento</t>
  </si>
  <si>
    <t xml:space="preserve">1) Emitir SOP con tiempo máximo de 6 horas. 2) Lista de verificación diaria de notas operatorias pendientes. 3) Responsabilidad al jefe de quirófano.</t>
  </si>
  <si>
    <t xml:space="preserve">NC-2025-004</t>
  </si>
  <si>
    <t xml:space="preserve">WHO Surgical Safety Checklist no se aplica en el 100% de los casos — incumplimiento documentado</t>
  </si>
  <si>
    <t xml:space="preserve">Quirófano</t>
  </si>
  <si>
    <t xml:space="preserve">Observación directa</t>
  </si>
  <si>
    <t xml:space="preserve">El checklist existe en papel pero no se verbaliza formalmente; el equipo no fue entrenado en los 3 momentos obligatorios</t>
  </si>
  <si>
    <t xml:space="preserve">1) Capacitación obligatoria de todo el equipo quirúrgico en WHO SSC. 2) Auditoría diaria de checklists completados. 3) KPI de cumplimiento en tablero.</t>
  </si>
  <si>
    <t xml:space="preserve">NC-2025-005</t>
  </si>
  <si>
    <t xml:space="preserve">No existe protocolo documentado de gestión de quejas del paciente quirúrgico</t>
  </si>
  <si>
    <t xml:space="preserve">Calidad / Atención al Cliente</t>
  </si>
  <si>
    <t xml:space="preserve">La Ley de Derechos de Pacientes Art.21 exige respuesta escrita a quejas; no existe proceso formal ni registro</t>
  </si>
  <si>
    <t xml:space="preserve">1) Diseñar proceso de gestión de quejas con formulario y tiempo de respuesta. 2) Designar responsable. 3) Crear registro.</t>
  </si>
  <si>
    <t xml:space="preserve">Ing Harriet Lara/ Lic Javier Cervino</t>
  </si>
  <si>
    <t xml:space="preserve">DASHBOARD DE KPIs — QUIRÓFANO AVANTE</t>
  </si>
  <si>
    <t xml:space="preserve">ISO 9001 §9.1 — Seguimiento, Medición, Análisis y Evaluación del Desempeño | Frecuencia: Mensual</t>
  </si>
  <si>
    <t xml:space="preserve">Indicador (KPI)</t>
  </si>
  <si>
    <t xml:space="preserve">Meta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</si>
  <si>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</si>
  <si>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</si>
  <si>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</si>
  <si>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</si>
  <si>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</si>
  <si>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</si>
  <si>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Resultado Acum.</t>
  </si>
  <si>
    <t xml:space="preserve">Semáforo</t>
  </si>
  <si>
    <t xml:space="preserve">  🔴 SEGURIDAD CLÍNICA — BASE LEGAL: Ley SNIS Art.14 | Manual Qx MINSAL | OMS</t>
  </si>
  <si>
    <t xml:space="preserve">Cumplimiento WHO Checklist (% casos con checklist completo)</t>
  </si>
  <si>
    <t xml:space="preserve">100%</t>
  </si>
  <si>
    <t xml:space="preserve">⬜ Sin datos</t>
  </si>
  <si>
    <t xml:space="preserve">Tasa de Infección Sitio Quirúrgico — SSI (% cirugías con SSI a 30 días)</t>
  </si>
  <si>
    <t xml:space="preserve">&lt; 2%</t>
  </si>
  <si>
    <t xml:space="preserve">Antibiótico profiláctico en tiempo (% &lt; 60 min antes incisión)</t>
  </si>
  <si>
    <t xml:space="preserve">≥ 95%</t>
  </si>
  <si>
    <t xml:space="preserve">Eventos adversos intraoperatorios reportados (N° por 100 cirugías)</t>
  </si>
  <si>
    <t xml:space="preserve">&lt; 1%</t>
  </si>
  <si>
    <t xml:space="preserve">Cirugía en sitio/lado incorrecto (evento centinela — meta cero)</t>
  </si>
  <si>
    <t xml:space="preserve">0</t>
  </si>
  <si>
    <t xml:space="preserve">  🟡 EFICIENCIA OPERATIVA — BASE LEGAL: Ley SNIS | ISO 9001 §8.5</t>
  </si>
  <si>
    <t xml:space="preserve">Utilización del quirófano (% tiempo disponible vs. usado)</t>
  </si>
  <si>
    <t xml:space="preserve">70–85%</t>
  </si>
  <si>
    <t xml:space="preserve">Primer caso puntual — FCOTS (% 1er cirugía que inicia a tiempo)</t>
  </si>
  <si>
    <t xml:space="preserve">≥ 80%</t>
  </si>
  <si>
    <t xml:space="preserve">Tiempo de rotación entre casos — Turnover (minutos promedio)</t>
  </si>
  <si>
    <t xml:space="preserve">&lt; 25 min</t>
  </si>
  <si>
    <t xml:space="preserve">Tasa de cancelaciones en el día (% sobre casos programados)</t>
  </si>
  <si>
    <t xml:space="preserve">&lt; 5%</t>
  </si>
  <si>
    <t xml:space="preserve">Variación duración real vs. programada (minutos promedio de diferencia)</t>
  </si>
  <si>
    <t xml:space="preserve">± 15 min</t>
  </si>
  <si>
    <t xml:space="preserve">  🟢 CALIDAD DEL RESULTADO — BASE LEGAL: Ley Derechos Pacientes | ISO 9001 §9</t>
  </si>
  <si>
    <t xml:space="preserve">Reintervención no planificada &lt; 30 días (% sobre cirugías realizadas)</t>
  </si>
  <si>
    <t xml:space="preserve">Expedientes quirúrgicos completos (% con todos los documentos requeridos)</t>
  </si>
  <si>
    <t xml:space="preserve">Notas operatorias completadas en &lt; 6 horas (% de cumplimiento)</t>
  </si>
  <si>
    <t xml:space="preserve">Consentimientos informados específicos y correctos (% sobre casos)</t>
  </si>
  <si>
    <t xml:space="preserve">Satisfacción del paciente quirúrgico — NPS</t>
  </si>
  <si>
    <t xml:space="preserve">≥ +50</t>
  </si>
  <si>
    <t xml:space="preserve">  ⚫ CONTROL INTERNO Y CUMPLIMIENTO LEGAL — ISO 9001 §8.2.1 | CSSP</t>
  </si>
  <si>
    <t xml:space="preserve">Profesionales con inscripción CSSP vigente (% sobre total activos)</t>
  </si>
  <si>
    <t xml:space="preserve">No conformidades cerradas en tiempo (% sobre total abiertas)</t>
  </si>
  <si>
    <t xml:space="preserve">Quejas con respuesta escrita en plazo (% sobre total recibidas)</t>
  </si>
  <si>
    <t xml:space="preserve">Ítems de auditoría interna con CUMPLE (% promedio trimestral)</t>
  </si>
  <si>
    <t xml:space="preserve">≥ 85%</t>
  </si>
  <si>
    <t xml:space="preserve">Costo de no calidad (reprocesos + eventos adversos + reclamos — $)</t>
  </si>
  <si>
    <t xml:space="preserve">↓ 20% anual</t>
  </si>
  <si>
    <t xml:space="preserve">INSTRUCCIONES: Completar celdas en amarillo mensualmente. Semáforo: 🟢 CUMPLE META  |  🟡 PARCIAL (±10%)  |  🔴 NO CUMPLE  |  ⬜ SIN DATOS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</si>
</sst>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0"/>
      <color rgb="FF1B2A4A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1A5C2E"/>
      <name val="Arial"/>
      <family val="2"/>
      <charset val="1"/>
    </font>
    <font>
      <b val="true"/>
      <sz val="10"/>
      <color rgb="FF8B1A1A"/>
      <name val="Arial"/>
      <family val="2"/>
      <charset val="1"/>
    </font>
    <font>
      <b val="true"/>
      <sz val="10"/>
      <color rgb="FFCC5500"/>
      <name val="Arial"/>
      <family val="2"/>
      <charset val="1"/>
    </font>
    <font>
      <b val="true"/>
      <sz val="9"/>
      <color rgb="FF1A5C2E"/>
      <name val="Arial"/>
      <family val="2"/>
      <charset val="1"/>
    </font>
    <font>
      <i val="true"/>
      <sz val="9"/>
      <color rgb="FF1B2A4A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6E6E"/>
        <bgColor rgb="FF008080"/>
      </patternFill>
    </fill>
    <fill>
      <patternFill patternType="solid">
        <fgColor rgb="FFC89B3C"/>
        <bgColor rgb="FFAAAAAA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D4EDDA"/>
        <bgColor rgb="FFD6EAF8"/>
      </patternFill>
    </fill>
    <fill>
      <patternFill patternType="solid">
        <fgColor rgb="FFFFF3CD"/>
        <bgColor rgb="FFF2F4F7"/>
      </patternFill>
    </fill>
    <fill>
      <patternFill patternType="solid">
        <fgColor rgb="FFFDDCDC"/>
        <bgColor rgb="FFFFF3CD"/>
      </patternFill>
    </fill>
    <fill>
      <patternFill patternType="solid">
        <fgColor rgb="FFD6EAF8"/>
        <bgColor rgb="FFD4EDDA"/>
      </patternFill>
    </fill>
    <fill>
      <patternFill patternType="solid">
        <fgColor rgb="FFD9DCE3"/>
        <bgColor rgb="FFD6E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2E"/>
      <rgbColor rgb="FF000080"/>
      <rgbColor rgb="FF808000"/>
      <rgbColor rgb="FF800080"/>
      <rgbColor rgb="FF0D6E6E"/>
      <rgbColor rgb="FFC0C0C0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4EDDA"/>
      <rgbColor rgb="FFFFFF99"/>
      <rgbColor rgb="FF99CCFF"/>
      <rgbColor rgb="FFFF99CC"/>
      <rgbColor rgb="FFCC99FF"/>
      <rgbColor rgb="FFFDDCDC"/>
      <rgbColor rgb="FF3366FF"/>
      <rgbColor rgb="FF33CCCC"/>
      <rgbColor rgb="FF99CC00"/>
      <rgbColor rgb="FFFFCC00"/>
      <rgbColor rgb="FFC89B3C"/>
      <rgbColor rgb="FFCC5500"/>
      <rgbColor rgb="FF666699"/>
      <rgbColor rgb="FFAAAAAA"/>
      <rgbColor rgb="FF003366"/>
      <rgbColor rgb="FF339966"/>
      <rgbColor rgb="FF003300"/>
      <rgbColor rgb="FF333300"/>
      <rgbColor rgb="FF8B1A1A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28"/>
    <col collapsed="false" customWidth="true" hidden="false" outlineLevel="0" max="4" min="4" style="0" width="20"/>
  </cols>
  <sheetData>
    <row r="2" customFormat="false" ht="36" hidden="false" customHeight="true" outlineLevel="0" collapsed="false">
      <c r="B2" s="1" t="s">
        <v>0</v>
      </c>
      <c r="C2" s="1"/>
      <c r="D2" s="1"/>
    </row>
    <row r="3" customFormat="false" ht="27.75" hidden="false" customHeight="true" outlineLevel="0" collapsed="false">
      <c r="B3" s="2" t="s">
        <v>1</v>
      </c>
      <c r="C3" s="2"/>
      <c r="D3" s="2"/>
    </row>
    <row r="4" customFormat="false" ht="21.75" hidden="false" customHeight="true" outlineLevel="0" collapsed="false">
      <c r="B4" s="3" t="s">
        <v>2</v>
      </c>
      <c r="C4" s="3"/>
      <c r="D4" s="3"/>
    </row>
    <row r="6" customFormat="false" ht="18" hidden="false" customHeight="true" outlineLevel="0" collapsed="false">
      <c r="B6" s="4" t="s">
        <v>3</v>
      </c>
      <c r="C6" s="5" t="s">
        <v>4</v>
      </c>
      <c r="D6" s="6"/>
    </row>
    <row r="7" customFormat="false" ht="18" hidden="false" customHeight="true" outlineLevel="0" collapsed="false">
      <c r="B7" s="4" t="s">
        <v>5</v>
      </c>
      <c r="C7" s="5" t="s">
        <v>6</v>
      </c>
      <c r="D7" s="6"/>
    </row>
    <row r="8" customFormat="false" ht="18" hidden="false" customHeight="true" outlineLevel="0" collapsed="false">
      <c r="B8" s="4" t="s">
        <v>7</v>
      </c>
      <c r="C8" s="5" t="s">
        <v>8</v>
      </c>
      <c r="D8" s="6"/>
    </row>
    <row r="9" customFormat="false" ht="18" hidden="false" customHeight="true" outlineLevel="0" collapsed="false">
      <c r="B9" s="4" t="s">
        <v>9</v>
      </c>
      <c r="C9" s="5" t="s">
        <v>10</v>
      </c>
      <c r="D9" s="6"/>
    </row>
    <row r="10" customFormat="false" ht="18" hidden="false" customHeight="true" outlineLevel="0" collapsed="false">
      <c r="B10" s="4" t="s">
        <v>11</v>
      </c>
      <c r="C10" s="5" t="s">
        <v>12</v>
      </c>
      <c r="D10" s="6"/>
    </row>
    <row r="11" customFormat="false" ht="18" hidden="false" customHeight="true" outlineLevel="0" collapsed="false">
      <c r="B11" s="4" t="s">
        <v>13</v>
      </c>
      <c r="C11" s="5" t="s">
        <v>14</v>
      </c>
      <c r="D11" s="6"/>
    </row>
    <row r="13" customFormat="false" ht="21.75" hidden="false" customHeight="true" outlineLevel="0" collapsed="false">
      <c r="B13" s="7" t="s">
        <v>15</v>
      </c>
      <c r="C13" s="7"/>
      <c r="D13" s="7"/>
    </row>
    <row r="14" customFormat="false" ht="19.5" hidden="false" customHeight="true" outlineLevel="0" collapsed="false">
      <c r="B14" s="8" t="s">
        <v>16</v>
      </c>
      <c r="C14" s="9" t="s">
        <v>17</v>
      </c>
      <c r="D14" s="9"/>
    </row>
    <row r="15" customFormat="false" ht="19.5" hidden="false" customHeight="true" outlineLevel="0" collapsed="false">
      <c r="B15" s="10" t="s">
        <v>18</v>
      </c>
      <c r="C15" s="11" t="s">
        <v>19</v>
      </c>
      <c r="D15" s="11"/>
    </row>
    <row r="16" customFormat="false" ht="19.5" hidden="false" customHeight="true" outlineLevel="0" collapsed="false">
      <c r="B16" s="8" t="s">
        <v>20</v>
      </c>
      <c r="C16" s="9" t="s">
        <v>21</v>
      </c>
      <c r="D16" s="9"/>
    </row>
    <row r="17" customFormat="false" ht="19.5" hidden="false" customHeight="true" outlineLevel="0" collapsed="false">
      <c r="B17" s="10" t="s">
        <v>22</v>
      </c>
      <c r="C17" s="11" t="s">
        <v>23</v>
      </c>
      <c r="D17" s="11"/>
    </row>
    <row r="18" customFormat="false" ht="19.5" hidden="false" customHeight="true" outlineLevel="0" collapsed="false">
      <c r="B18" s="8" t="s">
        <v>24</v>
      </c>
      <c r="C18" s="9" t="s">
        <v>25</v>
      </c>
      <c r="D18" s="9"/>
    </row>
    <row r="19" customFormat="false" ht="19.5" hidden="false" customHeight="true" outlineLevel="0" collapsed="false">
      <c r="B19" s="10" t="s">
        <v>26</v>
      </c>
      <c r="C19" s="11" t="s">
        <v>27</v>
      </c>
      <c r="D19" s="11"/>
    </row>
  </sheetData>
  <mergeCells count="10">
    <mergeCell ref="B2:D2"/>
    <mergeCell ref="B3:D3"/>
    <mergeCell ref="B4:D4"/>
    <mergeCell ref="B13:D13"/>
    <mergeCell ref="C14:D14"/>
    <mergeCell ref="C15:D15"/>
    <mergeCell ref="C16:D16"/>
    <mergeCell ref="C17:D17"/>
    <mergeCell ref="C18:D18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E22" activePane="bottomRight" state="frozen"/>
      <selection pane="topLeft" activeCell="A1" activeCellId="0" sqref="A1"/>
      <selection pane="topRight" activeCell="E1" activeCellId="0" sqref="E1"/>
      <selection pane="bottomLeft" activeCell="A22" activeCellId="0" sqref="A22"/>
      <selection pane="bottomRight" activeCell="K26" activeCellId="0" sqref="K2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</cols>
  <sheetData>
    <row r="2" customFormat="false" ht="30" hidden="false" customHeight="true" outlineLevel="0" collapsed="false">
      <c r="B2" s="12" t="s">
        <v>28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8" hidden="false" customHeight="true" outlineLevel="0" collapsed="false">
      <c r="B3" s="13" t="s">
        <v>29</v>
      </c>
      <c r="C3" s="13"/>
      <c r="D3" s="13"/>
      <c r="E3" s="13"/>
      <c r="F3" s="13"/>
      <c r="G3" s="13"/>
      <c r="H3" s="13"/>
      <c r="I3" s="13"/>
      <c r="J3" s="13"/>
      <c r="K3" s="13"/>
    </row>
    <row r="5" customFormat="false" ht="36" hidden="false" customHeight="true" outlineLevel="0" collapsed="false">
      <c r="B5" s="14" t="s">
        <v>30</v>
      </c>
      <c r="C5" s="14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14" t="s">
        <v>36</v>
      </c>
      <c r="I5" s="14" t="s">
        <v>37</v>
      </c>
      <c r="J5" s="14" t="s">
        <v>38</v>
      </c>
      <c r="K5" s="14" t="s">
        <v>39</v>
      </c>
    </row>
    <row r="7" customFormat="false" ht="42" hidden="false" customHeight="true" outlineLevel="0" collapsed="false"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45</v>
      </c>
      <c r="H7" s="9" t="s">
        <v>46</v>
      </c>
      <c r="I7" s="15" t="s">
        <v>47</v>
      </c>
      <c r="J7" s="9" t="s">
        <v>48</v>
      </c>
    </row>
    <row r="8" customFormat="false" ht="42" hidden="false" customHeight="true" outlineLevel="0" collapsed="false">
      <c r="B8" s="11" t="s">
        <v>49</v>
      </c>
      <c r="C8" s="11" t="s">
        <v>50</v>
      </c>
      <c r="D8" s="11" t="s">
        <v>51</v>
      </c>
      <c r="E8" s="11" t="s">
        <v>52</v>
      </c>
      <c r="F8" s="11" t="s">
        <v>53</v>
      </c>
      <c r="G8" s="11" t="s">
        <v>54</v>
      </c>
      <c r="H8" s="11" t="s">
        <v>55</v>
      </c>
      <c r="I8" s="16" t="s">
        <v>56</v>
      </c>
      <c r="J8" s="11" t="s">
        <v>57</v>
      </c>
    </row>
    <row r="9" customFormat="false" ht="42" hidden="false" customHeight="true" outlineLevel="0" collapsed="false">
      <c r="B9" s="9" t="s">
        <v>58</v>
      </c>
      <c r="C9" s="9" t="s">
        <v>59</v>
      </c>
      <c r="D9" s="9" t="s">
        <v>51</v>
      </c>
      <c r="E9" s="9" t="s">
        <v>60</v>
      </c>
      <c r="F9" s="9" t="s">
        <v>53</v>
      </c>
      <c r="G9" s="9" t="s">
        <v>61</v>
      </c>
      <c r="H9" s="9" t="s">
        <v>55</v>
      </c>
      <c r="I9" s="16" t="s">
        <v>56</v>
      </c>
      <c r="J9" s="9" t="s">
        <v>62</v>
      </c>
    </row>
    <row r="10" customFormat="false" ht="42" hidden="false" customHeight="true" outlineLevel="0" collapsed="false">
      <c r="B10" s="11" t="s">
        <v>63</v>
      </c>
      <c r="C10" s="11" t="s">
        <v>64</v>
      </c>
      <c r="D10" s="11" t="s">
        <v>65</v>
      </c>
      <c r="E10" s="11" t="s">
        <v>60</v>
      </c>
      <c r="F10" s="11" t="s">
        <v>66</v>
      </c>
      <c r="G10" s="11" t="s">
        <v>67</v>
      </c>
      <c r="H10" s="11" t="s">
        <v>68</v>
      </c>
      <c r="I10" s="16" t="s">
        <v>56</v>
      </c>
      <c r="J10" s="11" t="s">
        <v>69</v>
      </c>
    </row>
    <row r="11" customFormat="false" ht="42" hidden="false" customHeight="true" outlineLevel="0" collapsed="false">
      <c r="B11" s="9" t="s">
        <v>70</v>
      </c>
      <c r="C11" s="9" t="s">
        <v>71</v>
      </c>
      <c r="D11" s="9" t="s">
        <v>72</v>
      </c>
      <c r="E11" s="9" t="s">
        <v>73</v>
      </c>
      <c r="F11" s="9" t="s">
        <v>74</v>
      </c>
      <c r="G11" s="9" t="s">
        <v>75</v>
      </c>
      <c r="H11" s="9" t="s">
        <v>76</v>
      </c>
      <c r="I11" s="17" t="s">
        <v>77</v>
      </c>
      <c r="J11" s="9" t="s">
        <v>78</v>
      </c>
    </row>
    <row r="12" customFormat="false" ht="42" hidden="false" customHeight="true" outlineLevel="0" collapsed="false">
      <c r="B12" s="11" t="s">
        <v>79</v>
      </c>
      <c r="C12" s="11" t="s">
        <v>80</v>
      </c>
      <c r="D12" s="11" t="s">
        <v>72</v>
      </c>
      <c r="E12" s="11" t="s">
        <v>81</v>
      </c>
      <c r="F12" s="11" t="s">
        <v>82</v>
      </c>
      <c r="G12" s="11" t="s">
        <v>83</v>
      </c>
      <c r="H12" s="11" t="s">
        <v>84</v>
      </c>
      <c r="I12" s="17" t="s">
        <v>77</v>
      </c>
      <c r="J12" s="11" t="s">
        <v>85</v>
      </c>
    </row>
    <row r="13" customFormat="false" ht="42" hidden="false" customHeight="true" outlineLevel="0" collapsed="false">
      <c r="B13" s="9" t="s">
        <v>86</v>
      </c>
      <c r="C13" s="9" t="s">
        <v>87</v>
      </c>
      <c r="D13" s="9" t="s">
        <v>72</v>
      </c>
      <c r="E13" s="9" t="s">
        <v>88</v>
      </c>
      <c r="F13" s="9" t="s">
        <v>89</v>
      </c>
      <c r="G13" s="9" t="s">
        <v>90</v>
      </c>
      <c r="H13" s="9" t="s">
        <v>91</v>
      </c>
      <c r="I13" s="16" t="s">
        <v>92</v>
      </c>
      <c r="J13" s="9" t="s">
        <v>93</v>
      </c>
    </row>
    <row r="14" customFormat="false" ht="42" hidden="false" customHeight="true" outlineLevel="0" collapsed="false">
      <c r="B14" s="11" t="s">
        <v>94</v>
      </c>
      <c r="C14" s="11" t="s">
        <v>95</v>
      </c>
      <c r="D14" s="11" t="s">
        <v>96</v>
      </c>
      <c r="E14" s="11" t="s">
        <v>97</v>
      </c>
      <c r="F14" s="11" t="s">
        <v>98</v>
      </c>
      <c r="G14" s="11" t="s">
        <v>99</v>
      </c>
      <c r="H14" s="11" t="s">
        <v>100</v>
      </c>
      <c r="I14" s="17" t="s">
        <v>77</v>
      </c>
      <c r="J14" s="11" t="s">
        <v>101</v>
      </c>
    </row>
    <row r="15" customFormat="false" ht="42" hidden="false" customHeight="true" outlineLevel="0" collapsed="false">
      <c r="B15" s="9" t="s">
        <v>102</v>
      </c>
      <c r="C15" s="9" t="s">
        <v>103</v>
      </c>
      <c r="D15" s="9" t="s">
        <v>96</v>
      </c>
      <c r="E15" s="9" t="s">
        <v>97</v>
      </c>
      <c r="F15" s="9" t="s">
        <v>104</v>
      </c>
      <c r="G15" s="9" t="s">
        <v>105</v>
      </c>
      <c r="H15" s="9" t="s">
        <v>106</v>
      </c>
      <c r="I15" s="18" t="s">
        <v>107</v>
      </c>
      <c r="J15" s="9" t="s">
        <v>108</v>
      </c>
    </row>
    <row r="16" customFormat="false" ht="42" hidden="false" customHeight="true" outlineLevel="0" collapsed="false">
      <c r="B16" s="11" t="s">
        <v>109</v>
      </c>
      <c r="C16" s="11" t="s">
        <v>110</v>
      </c>
      <c r="D16" s="11" t="s">
        <v>111</v>
      </c>
      <c r="E16" s="11" t="s">
        <v>112</v>
      </c>
      <c r="F16" s="11" t="s">
        <v>113</v>
      </c>
      <c r="G16" s="11" t="s">
        <v>114</v>
      </c>
      <c r="H16" s="11" t="s">
        <v>115</v>
      </c>
      <c r="I16" s="17" t="s">
        <v>116</v>
      </c>
      <c r="J16" s="11" t="s">
        <v>117</v>
      </c>
    </row>
    <row r="17" customFormat="false" ht="42" hidden="false" customHeight="true" outlineLevel="0" collapsed="false">
      <c r="B17" s="9" t="s">
        <v>118</v>
      </c>
      <c r="C17" s="9" t="s">
        <v>119</v>
      </c>
      <c r="D17" s="9" t="s">
        <v>120</v>
      </c>
      <c r="E17" s="9" t="s">
        <v>121</v>
      </c>
      <c r="F17" s="9" t="s">
        <v>122</v>
      </c>
      <c r="G17" s="9" t="s">
        <v>123</v>
      </c>
      <c r="H17" s="9" t="s">
        <v>106</v>
      </c>
      <c r="I17" s="17" t="s">
        <v>77</v>
      </c>
      <c r="J17" s="9" t="s">
        <v>124</v>
      </c>
    </row>
    <row r="18" customFormat="false" ht="42" hidden="false" customHeight="true" outlineLevel="0" collapsed="false">
      <c r="B18" s="11" t="s">
        <v>125</v>
      </c>
      <c r="C18" s="11" t="s">
        <v>126</v>
      </c>
      <c r="D18" s="11" t="s">
        <v>120</v>
      </c>
      <c r="E18" s="11" t="s">
        <v>127</v>
      </c>
      <c r="F18" s="11" t="s">
        <v>128</v>
      </c>
      <c r="G18" s="11" t="s">
        <v>129</v>
      </c>
      <c r="H18" s="11" t="s">
        <v>130</v>
      </c>
      <c r="I18" s="16" t="s">
        <v>131</v>
      </c>
      <c r="J18" s="11" t="s">
        <v>132</v>
      </c>
    </row>
    <row r="19" customFormat="false" ht="42" hidden="false" customHeight="true" outlineLevel="0" collapsed="false">
      <c r="B19" s="9" t="s">
        <v>133</v>
      </c>
      <c r="C19" s="9" t="s">
        <v>134</v>
      </c>
      <c r="D19" s="9" t="s">
        <v>135</v>
      </c>
      <c r="E19" s="9" t="s">
        <v>136</v>
      </c>
      <c r="F19" s="9" t="s">
        <v>137</v>
      </c>
      <c r="G19" s="9" t="s">
        <v>138</v>
      </c>
      <c r="H19" s="9" t="s">
        <v>139</v>
      </c>
      <c r="I19" s="16" t="s">
        <v>140</v>
      </c>
      <c r="J19" s="9" t="s">
        <v>141</v>
      </c>
    </row>
    <row r="20" customFormat="false" ht="42" hidden="false" customHeight="true" outlineLevel="0" collapsed="false">
      <c r="B20" s="11" t="s">
        <v>142</v>
      </c>
      <c r="C20" s="11" t="s">
        <v>143</v>
      </c>
      <c r="D20" s="11" t="s">
        <v>72</v>
      </c>
      <c r="E20" s="11" t="s">
        <v>144</v>
      </c>
      <c r="F20" s="11" t="s">
        <v>145</v>
      </c>
      <c r="G20" s="11" t="s">
        <v>146</v>
      </c>
      <c r="H20" s="11" t="s">
        <v>147</v>
      </c>
      <c r="I20" s="16" t="s">
        <v>148</v>
      </c>
      <c r="J20" s="11" t="s">
        <v>149</v>
      </c>
    </row>
    <row r="21" customFormat="false" ht="42" hidden="false" customHeight="true" outlineLevel="0" collapsed="false">
      <c r="B21" s="9" t="s">
        <v>150</v>
      </c>
      <c r="C21" s="9" t="s">
        <v>151</v>
      </c>
      <c r="D21" s="9" t="s">
        <v>72</v>
      </c>
      <c r="E21" s="9" t="s">
        <v>152</v>
      </c>
      <c r="F21" s="9" t="s">
        <v>153</v>
      </c>
      <c r="G21" s="9" t="s">
        <v>154</v>
      </c>
      <c r="H21" s="9" t="s">
        <v>106</v>
      </c>
      <c r="I21" s="18" t="s">
        <v>107</v>
      </c>
      <c r="J21" s="9" t="s">
        <v>155</v>
      </c>
    </row>
    <row r="22" customFormat="false" ht="42" hidden="false" customHeight="true" outlineLevel="0" collapsed="false">
      <c r="B22" s="11" t="s">
        <v>156</v>
      </c>
      <c r="C22" s="11" t="s">
        <v>157</v>
      </c>
      <c r="D22" s="11" t="s">
        <v>158</v>
      </c>
      <c r="E22" s="11" t="s">
        <v>159</v>
      </c>
      <c r="F22" s="11" t="s">
        <v>160</v>
      </c>
      <c r="G22" s="11" t="s">
        <v>161</v>
      </c>
      <c r="H22" s="11" t="s">
        <v>162</v>
      </c>
      <c r="I22" s="16" t="s">
        <v>56</v>
      </c>
      <c r="J22" s="11" t="s">
        <v>163</v>
      </c>
    </row>
    <row r="23" customFormat="false" ht="42" hidden="false" customHeight="true" outlineLevel="0" collapsed="false">
      <c r="B23" s="9" t="s">
        <v>164</v>
      </c>
      <c r="C23" s="9" t="s">
        <v>165</v>
      </c>
      <c r="D23" s="9" t="s">
        <v>158</v>
      </c>
      <c r="E23" s="9" t="s">
        <v>166</v>
      </c>
      <c r="F23" s="9" t="s">
        <v>167</v>
      </c>
      <c r="G23" s="9" t="s">
        <v>168</v>
      </c>
      <c r="H23" s="9" t="s">
        <v>169</v>
      </c>
      <c r="I23" s="17" t="s">
        <v>77</v>
      </c>
      <c r="J23" s="9" t="s">
        <v>170</v>
      </c>
    </row>
    <row r="24" customFormat="false" ht="42" hidden="false" customHeight="true" outlineLevel="0" collapsed="false">
      <c r="B24" s="11" t="s">
        <v>171</v>
      </c>
      <c r="C24" s="11" t="s">
        <v>172</v>
      </c>
      <c r="D24" s="11" t="s">
        <v>173</v>
      </c>
      <c r="E24" s="11" t="s">
        <v>174</v>
      </c>
      <c r="F24" s="11" t="s">
        <v>175</v>
      </c>
      <c r="G24" s="11" t="s">
        <v>176</v>
      </c>
      <c r="H24" s="11" t="s">
        <v>177</v>
      </c>
      <c r="I24" s="18" t="s">
        <v>178</v>
      </c>
      <c r="J24" s="11" t="s">
        <v>179</v>
      </c>
    </row>
    <row r="25" customFormat="false" ht="42" hidden="false" customHeight="true" outlineLevel="0" collapsed="false">
      <c r="B25" s="9" t="s">
        <v>180</v>
      </c>
      <c r="C25" s="9" t="s">
        <v>181</v>
      </c>
      <c r="D25" s="9" t="s">
        <v>72</v>
      </c>
      <c r="E25" s="9" t="s">
        <v>182</v>
      </c>
      <c r="F25" s="9" t="s">
        <v>44</v>
      </c>
      <c r="G25" s="9" t="s">
        <v>183</v>
      </c>
      <c r="H25" s="9" t="s">
        <v>184</v>
      </c>
      <c r="I25" s="16" t="s">
        <v>185</v>
      </c>
      <c r="J25" s="9" t="s">
        <v>186</v>
      </c>
    </row>
    <row r="26" customFormat="false" ht="42" hidden="false" customHeight="true" outlineLevel="0" collapsed="false">
      <c r="B26" s="11" t="s">
        <v>187</v>
      </c>
      <c r="C26" s="11" t="s">
        <v>188</v>
      </c>
      <c r="D26" s="11" t="s">
        <v>173</v>
      </c>
      <c r="E26" s="11" t="s">
        <v>189</v>
      </c>
      <c r="F26" s="11" t="s">
        <v>190</v>
      </c>
      <c r="G26" s="11" t="s">
        <v>191</v>
      </c>
      <c r="H26" s="11" t="s">
        <v>68</v>
      </c>
      <c r="I26" s="18" t="s">
        <v>192</v>
      </c>
      <c r="J26" s="11" t="s">
        <v>193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A1" activeCellId="0" sqref="A1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8" min="5" style="0" width="18"/>
    <col collapsed="false" customWidth="true" hidden="true" outlineLevel="0" max="9" min="9" style="0" width="14"/>
    <col collapsed="false" customWidth="true" hidden="true" outlineLevel="0" max="10" min="10" style="0" width="28"/>
    <col collapsed="false" customWidth="true" hidden="true" outlineLevel="0" max="11" min="11" style="0" width="20"/>
  </cols>
  <sheetData>
    <row r="2" customFormat="false" ht="30" hidden="false" customHeight="true" outlineLevel="0" collapsed="false">
      <c r="B2" s="12" t="s">
        <v>194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8" hidden="false" customHeight="true" outlineLevel="0" collapsed="false">
      <c r="B3" s="13" t="s">
        <v>195</v>
      </c>
      <c r="C3" s="13"/>
      <c r="D3" s="13"/>
      <c r="E3" s="13"/>
      <c r="F3" s="13"/>
      <c r="G3" s="13"/>
      <c r="H3" s="13"/>
      <c r="I3" s="13"/>
      <c r="J3" s="13"/>
      <c r="K3" s="13"/>
    </row>
    <row r="4" customFormat="false" ht="15.75" hidden="false" customHeight="true" outlineLevel="0" collapsed="false">
      <c r="B4" s="19" t="s">
        <v>196</v>
      </c>
      <c r="C4" s="19"/>
      <c r="D4" s="19"/>
      <c r="E4" s="19"/>
      <c r="F4" s="19"/>
      <c r="G4" s="19"/>
      <c r="H4" s="19"/>
      <c r="I4" s="19"/>
      <c r="J4" s="19"/>
      <c r="K4" s="19"/>
    </row>
    <row r="5" customFormat="false" ht="30" hidden="false" customHeight="true" outlineLevel="0" collapsed="false">
      <c r="B5" s="14" t="s">
        <v>30</v>
      </c>
      <c r="C5" s="14" t="s">
        <v>197</v>
      </c>
      <c r="D5" s="14" t="s">
        <v>198</v>
      </c>
      <c r="E5" s="14" t="s">
        <v>199</v>
      </c>
      <c r="F5" s="14" t="s">
        <v>200</v>
      </c>
      <c r="G5" s="14" t="s">
        <v>201</v>
      </c>
      <c r="H5" s="14" t="s">
        <v>202</v>
      </c>
      <c r="I5" s="14" t="s">
        <v>203</v>
      </c>
      <c r="J5" s="14" t="s">
        <v>204</v>
      </c>
      <c r="K5" s="14" t="s">
        <v>205</v>
      </c>
    </row>
    <row r="6" customFormat="false" ht="21.75" hidden="false" customHeight="true" outlineLevel="0" collapsed="false">
      <c r="B6" s="20" t="s">
        <v>206</v>
      </c>
      <c r="C6" s="20"/>
      <c r="D6" s="20"/>
      <c r="E6" s="20"/>
      <c r="F6" s="20"/>
      <c r="G6" s="20"/>
      <c r="H6" s="20"/>
      <c r="I6" s="20"/>
      <c r="J6" s="20"/>
      <c r="K6" s="20"/>
    </row>
    <row r="7" customFormat="false" ht="21.65" hidden="false" customHeight="false" outlineLevel="0" collapsed="false">
      <c r="B7" s="11" t="s">
        <v>40</v>
      </c>
      <c r="C7" s="11" t="s">
        <v>207</v>
      </c>
      <c r="D7" s="11" t="s">
        <v>208</v>
      </c>
      <c r="E7" s="11" t="s">
        <v>209</v>
      </c>
      <c r="F7" s="11" t="s">
        <v>210</v>
      </c>
      <c r="G7" s="21" t="n">
        <v>46155</v>
      </c>
      <c r="H7" s="11" t="n">
        <v>1</v>
      </c>
      <c r="I7" s="16"/>
      <c r="J7" s="22"/>
      <c r="K7" s="23"/>
    </row>
    <row r="8" customFormat="false" ht="39.75" hidden="false" customHeight="true" outlineLevel="0" collapsed="false">
      <c r="B8" s="9" t="s">
        <v>49</v>
      </c>
      <c r="C8" s="9" t="s">
        <v>211</v>
      </c>
      <c r="D8" s="9" t="s">
        <v>212</v>
      </c>
      <c r="E8" s="9" t="s">
        <v>213</v>
      </c>
      <c r="F8" s="9" t="s">
        <v>214</v>
      </c>
      <c r="G8" s="21" t="n">
        <v>46156</v>
      </c>
      <c r="H8" s="11" t="n">
        <v>1</v>
      </c>
      <c r="I8" s="16"/>
      <c r="J8" s="22"/>
      <c r="K8" s="23"/>
    </row>
    <row r="9" customFormat="false" ht="39.75" hidden="false" customHeight="true" outlineLevel="0" collapsed="false">
      <c r="B9" s="11" t="s">
        <v>58</v>
      </c>
      <c r="C9" s="9" t="s">
        <v>215</v>
      </c>
      <c r="D9" s="9" t="s">
        <v>212</v>
      </c>
      <c r="E9" s="9" t="s">
        <v>213</v>
      </c>
      <c r="F9" s="9" t="s">
        <v>214</v>
      </c>
      <c r="G9" s="21" t="n">
        <v>46156</v>
      </c>
      <c r="H9" s="11" t="n">
        <v>1</v>
      </c>
      <c r="I9" s="16"/>
      <c r="J9" s="22"/>
      <c r="K9" s="23"/>
    </row>
    <row r="10" customFormat="false" ht="39.75" hidden="false" customHeight="true" outlineLevel="0" collapsed="false">
      <c r="B10" s="11" t="n">
        <v>4</v>
      </c>
      <c r="C10" s="9" t="s">
        <v>216</v>
      </c>
      <c r="D10" s="9" t="s">
        <v>212</v>
      </c>
      <c r="E10" s="9" t="s">
        <v>213</v>
      </c>
      <c r="F10" s="9" t="s">
        <v>214</v>
      </c>
      <c r="G10" s="21" t="n">
        <v>46156</v>
      </c>
      <c r="H10" s="11" t="n">
        <v>1</v>
      </c>
      <c r="I10" s="16"/>
      <c r="J10" s="22"/>
      <c r="K10" s="23"/>
    </row>
    <row r="11" customFormat="false" ht="39.75" hidden="false" customHeight="true" outlineLevel="0" collapsed="false">
      <c r="B11" s="11" t="n">
        <v>5</v>
      </c>
      <c r="C11" s="11" t="s">
        <v>217</v>
      </c>
      <c r="D11" s="9" t="s">
        <v>212</v>
      </c>
      <c r="E11" s="9" t="s">
        <v>213</v>
      </c>
      <c r="F11" s="9" t="s">
        <v>214</v>
      </c>
      <c r="G11" s="21" t="n">
        <v>46156</v>
      </c>
      <c r="H11" s="11" t="n">
        <v>1</v>
      </c>
      <c r="I11" s="16"/>
      <c r="J11" s="22"/>
      <c r="K11" s="23"/>
    </row>
    <row r="12" customFormat="false" ht="39.75" hidden="false" customHeight="true" outlineLevel="0" collapsed="false">
      <c r="B12" s="11" t="n">
        <v>6</v>
      </c>
      <c r="C12" s="9" t="s">
        <v>218</v>
      </c>
      <c r="D12" s="9" t="s">
        <v>212</v>
      </c>
      <c r="E12" s="9" t="s">
        <v>213</v>
      </c>
      <c r="F12" s="9" t="s">
        <v>214</v>
      </c>
      <c r="G12" s="21" t="n">
        <v>46156</v>
      </c>
      <c r="H12" s="11" t="n">
        <v>1</v>
      </c>
      <c r="I12" s="16"/>
      <c r="J12" s="22"/>
      <c r="K12" s="23"/>
    </row>
    <row r="13" customFormat="false" ht="39.75" hidden="false" customHeight="true" outlineLevel="0" collapsed="false">
      <c r="B13" s="9" t="n">
        <v>7</v>
      </c>
      <c r="C13" s="9" t="s">
        <v>219</v>
      </c>
      <c r="D13" s="9" t="s">
        <v>212</v>
      </c>
      <c r="E13" s="9" t="s">
        <v>213</v>
      </c>
      <c r="F13" s="9" t="s">
        <v>214</v>
      </c>
      <c r="G13" s="21" t="n">
        <v>46156</v>
      </c>
      <c r="H13" s="11" t="n">
        <v>1</v>
      </c>
      <c r="I13" s="16"/>
      <c r="J13" s="22"/>
      <c r="K13" s="23"/>
    </row>
    <row r="14" customFormat="false" ht="39.75" hidden="false" customHeight="true" outlineLevel="0" collapsed="false">
      <c r="B14" s="9" t="n">
        <v>8</v>
      </c>
      <c r="C14" s="9" t="s">
        <v>220</v>
      </c>
      <c r="D14" s="9" t="s">
        <v>221</v>
      </c>
      <c r="E14" s="9" t="s">
        <v>222</v>
      </c>
      <c r="F14" s="9" t="s">
        <v>223</v>
      </c>
      <c r="G14" s="21" t="n">
        <v>46156</v>
      </c>
      <c r="H14" s="11" t="n">
        <v>1</v>
      </c>
      <c r="I14" s="16"/>
      <c r="J14" s="22"/>
      <c r="K14" s="23"/>
    </row>
    <row r="15" customFormat="false" ht="21.75" hidden="false" customHeight="true" outlineLevel="0" collapsed="false">
      <c r="B15" s="20" t="s">
        <v>224</v>
      </c>
      <c r="C15" s="20"/>
      <c r="D15" s="20"/>
      <c r="E15" s="20"/>
      <c r="F15" s="20"/>
      <c r="G15" s="20"/>
      <c r="H15" s="20"/>
      <c r="I15" s="20"/>
      <c r="J15" s="20"/>
      <c r="K15" s="20"/>
    </row>
    <row r="16" customFormat="false" ht="39.75" hidden="false" customHeight="true" outlineLevel="0" collapsed="false">
      <c r="B16" s="11" t="s">
        <v>70</v>
      </c>
      <c r="C16" s="11" t="s">
        <v>225</v>
      </c>
      <c r="D16" s="11" t="s">
        <v>226</v>
      </c>
      <c r="E16" s="11" t="s">
        <v>227</v>
      </c>
      <c r="F16" s="11" t="s">
        <v>228</v>
      </c>
      <c r="G16" s="24" t="s">
        <v>229</v>
      </c>
      <c r="H16" s="11" t="n">
        <v>1</v>
      </c>
      <c r="I16" s="11" t="n">
        <v>1</v>
      </c>
      <c r="J16" s="11" t="n">
        <v>1</v>
      </c>
      <c r="K16" s="11" t="n">
        <v>1</v>
      </c>
    </row>
    <row r="17" customFormat="false" ht="39.75" hidden="false" customHeight="true" outlineLevel="0" collapsed="false">
      <c r="B17" s="9" t="s">
        <v>79</v>
      </c>
      <c r="C17" s="9" t="s">
        <v>230</v>
      </c>
      <c r="D17" s="9" t="s">
        <v>231</v>
      </c>
      <c r="E17" s="9" t="s">
        <v>232</v>
      </c>
      <c r="F17" s="9" t="s">
        <v>233</v>
      </c>
      <c r="G17" s="21" t="n">
        <v>46157</v>
      </c>
      <c r="H17" s="11" t="n">
        <v>1</v>
      </c>
      <c r="I17" s="11" t="n">
        <v>1</v>
      </c>
      <c r="J17" s="11" t="n">
        <v>1</v>
      </c>
      <c r="K17" s="11" t="n">
        <v>1</v>
      </c>
    </row>
    <row r="18" customFormat="false" ht="39.75" hidden="false" customHeight="true" outlineLevel="0" collapsed="false">
      <c r="B18" s="11" t="s">
        <v>86</v>
      </c>
      <c r="C18" s="11" t="s">
        <v>234</v>
      </c>
      <c r="D18" s="11" t="s">
        <v>235</v>
      </c>
      <c r="E18" s="9" t="s">
        <v>232</v>
      </c>
      <c r="F18" s="9" t="s">
        <v>233</v>
      </c>
      <c r="G18" s="21" t="n">
        <v>46157</v>
      </c>
      <c r="H18" s="11" t="n">
        <v>1</v>
      </c>
      <c r="I18" s="11" t="n">
        <v>1</v>
      </c>
      <c r="J18" s="11" t="n">
        <v>1</v>
      </c>
      <c r="K18" s="11" t="n">
        <v>1</v>
      </c>
    </row>
    <row r="19" customFormat="false" ht="39.75" hidden="false" customHeight="true" outlineLevel="0" collapsed="false">
      <c r="B19" s="9" t="s">
        <v>94</v>
      </c>
      <c r="C19" s="9" t="s">
        <v>236</v>
      </c>
      <c r="D19" s="9" t="s">
        <v>237</v>
      </c>
      <c r="E19" s="9" t="s">
        <v>213</v>
      </c>
      <c r="F19" s="9" t="s">
        <v>214</v>
      </c>
      <c r="G19" s="21" t="n">
        <v>46154</v>
      </c>
      <c r="H19" s="11" t="n">
        <v>1</v>
      </c>
      <c r="I19" s="11" t="n">
        <v>1</v>
      </c>
      <c r="J19" s="11" t="n">
        <v>1</v>
      </c>
      <c r="K19" s="11" t="n">
        <v>1</v>
      </c>
    </row>
    <row r="20" customFormat="false" ht="39.75" hidden="false" customHeight="true" outlineLevel="0" collapsed="false">
      <c r="B20" s="11" t="s">
        <v>102</v>
      </c>
      <c r="C20" s="11" t="s">
        <v>238</v>
      </c>
      <c r="D20" s="11" t="s">
        <v>239</v>
      </c>
      <c r="E20" s="9" t="s">
        <v>240</v>
      </c>
      <c r="F20" s="9" t="s">
        <v>214</v>
      </c>
      <c r="G20" s="21" t="n">
        <v>46154</v>
      </c>
      <c r="H20" s="11" t="n">
        <v>1</v>
      </c>
      <c r="I20" s="11" t="n">
        <v>1</v>
      </c>
      <c r="J20" s="11" t="n">
        <v>1</v>
      </c>
      <c r="K20" s="11" t="n">
        <v>1</v>
      </c>
    </row>
    <row r="21" customFormat="false" ht="21.75" hidden="false" customHeight="true" outlineLevel="0" collapsed="false">
      <c r="B21" s="20" t="s">
        <v>241</v>
      </c>
      <c r="C21" s="20"/>
      <c r="D21" s="20"/>
      <c r="E21" s="20"/>
      <c r="F21" s="20"/>
      <c r="G21" s="20"/>
      <c r="H21" s="20"/>
      <c r="I21" s="20"/>
      <c r="J21" s="20"/>
      <c r="K21" s="20"/>
    </row>
    <row r="22" customFormat="false" ht="39.75" hidden="false" customHeight="true" outlineLevel="0" collapsed="false">
      <c r="B22" s="9" t="s">
        <v>109</v>
      </c>
      <c r="C22" s="9" t="s">
        <v>242</v>
      </c>
      <c r="D22" s="9" t="s">
        <v>243</v>
      </c>
      <c r="E22" s="9" t="s">
        <v>244</v>
      </c>
      <c r="F22" s="9" t="s">
        <v>245</v>
      </c>
      <c r="G22" s="21" t="n">
        <v>46154</v>
      </c>
      <c r="H22" s="11" t="n">
        <v>1</v>
      </c>
      <c r="I22" s="11" t="n">
        <v>1</v>
      </c>
      <c r="J22" s="11" t="n">
        <v>1</v>
      </c>
      <c r="K22" s="11" t="n">
        <v>1</v>
      </c>
    </row>
    <row r="23" customFormat="false" ht="39.75" hidden="false" customHeight="true" outlineLevel="0" collapsed="false">
      <c r="B23" s="11" t="s">
        <v>118</v>
      </c>
      <c r="C23" s="11" t="s">
        <v>246</v>
      </c>
      <c r="D23" s="11" t="s">
        <v>247</v>
      </c>
      <c r="E23" s="9" t="s">
        <v>244</v>
      </c>
      <c r="F23" s="9" t="s">
        <v>245</v>
      </c>
      <c r="G23" s="21" t="n">
        <v>46154</v>
      </c>
      <c r="H23" s="11" t="n">
        <v>1</v>
      </c>
      <c r="I23" s="11" t="n">
        <v>1</v>
      </c>
      <c r="J23" s="11" t="n">
        <v>1</v>
      </c>
      <c r="K23" s="11" t="n">
        <v>1</v>
      </c>
    </row>
    <row r="24" customFormat="false" ht="39.75" hidden="false" customHeight="true" outlineLevel="0" collapsed="false">
      <c r="B24" s="9" t="s">
        <v>125</v>
      </c>
      <c r="C24" s="9" t="s">
        <v>248</v>
      </c>
      <c r="D24" s="9" t="s">
        <v>249</v>
      </c>
      <c r="E24" s="9" t="s">
        <v>244</v>
      </c>
      <c r="F24" s="9" t="s">
        <v>245</v>
      </c>
      <c r="G24" s="21" t="n">
        <v>46154</v>
      </c>
      <c r="H24" s="11" t="n">
        <v>1</v>
      </c>
      <c r="I24" s="11" t="n">
        <v>1</v>
      </c>
      <c r="J24" s="11" t="n">
        <v>1</v>
      </c>
      <c r="K24" s="11" t="n">
        <v>1</v>
      </c>
    </row>
    <row r="25" customFormat="false" ht="39.75" hidden="false" customHeight="true" outlineLevel="0" collapsed="false">
      <c r="B25" s="11" t="s">
        <v>133</v>
      </c>
      <c r="C25" s="11" t="s">
        <v>250</v>
      </c>
      <c r="D25" s="11" t="s">
        <v>251</v>
      </c>
      <c r="E25" s="9" t="s">
        <v>244</v>
      </c>
      <c r="F25" s="9" t="s">
        <v>245</v>
      </c>
      <c r="G25" s="21" t="n">
        <v>46154</v>
      </c>
      <c r="H25" s="11" t="n">
        <v>1</v>
      </c>
      <c r="I25" s="11" t="n">
        <v>1</v>
      </c>
      <c r="J25" s="11" t="n">
        <v>1</v>
      </c>
      <c r="K25" s="11" t="n">
        <v>1</v>
      </c>
    </row>
    <row r="26" customFormat="false" ht="39.75" hidden="false" customHeight="true" outlineLevel="0" collapsed="false">
      <c r="B26" s="9" t="s">
        <v>142</v>
      </c>
      <c r="C26" s="9" t="s">
        <v>252</v>
      </c>
      <c r="D26" s="9" t="s">
        <v>253</v>
      </c>
      <c r="E26" s="9" t="s">
        <v>244</v>
      </c>
      <c r="F26" s="9" t="s">
        <v>245</v>
      </c>
      <c r="G26" s="21" t="n">
        <v>46154</v>
      </c>
      <c r="H26" s="11" t="n">
        <v>1</v>
      </c>
      <c r="I26" s="11" t="n">
        <v>1</v>
      </c>
      <c r="J26" s="11" t="n">
        <v>1</v>
      </c>
      <c r="K26" s="11" t="n">
        <v>1</v>
      </c>
    </row>
    <row r="27" customFormat="false" ht="39.75" hidden="false" customHeight="true" outlineLevel="0" collapsed="false">
      <c r="B27" s="11" t="s">
        <v>150</v>
      </c>
      <c r="C27" s="11" t="s">
        <v>254</v>
      </c>
      <c r="D27" s="11" t="s">
        <v>255</v>
      </c>
      <c r="E27" s="9" t="s">
        <v>244</v>
      </c>
      <c r="F27" s="9" t="s">
        <v>245</v>
      </c>
      <c r="G27" s="21" t="n">
        <v>46154</v>
      </c>
      <c r="H27" s="11" t="n">
        <v>1</v>
      </c>
      <c r="I27" s="11" t="n">
        <v>1</v>
      </c>
      <c r="J27" s="11" t="n">
        <v>1</v>
      </c>
      <c r="K27" s="11" t="n">
        <v>1</v>
      </c>
    </row>
    <row r="28" customFormat="false" ht="39.75" hidden="false" customHeight="true" outlineLevel="0" collapsed="false">
      <c r="B28" s="9" t="s">
        <v>156</v>
      </c>
      <c r="C28" s="9" t="s">
        <v>256</v>
      </c>
      <c r="D28" s="9" t="s">
        <v>257</v>
      </c>
      <c r="E28" s="9" t="s">
        <v>244</v>
      </c>
      <c r="F28" s="9" t="s">
        <v>245</v>
      </c>
      <c r="G28" s="21" t="n">
        <v>46154</v>
      </c>
      <c r="H28" s="11" t="n">
        <v>1</v>
      </c>
      <c r="I28" s="11" t="n">
        <v>1</v>
      </c>
      <c r="J28" s="11" t="n">
        <v>1</v>
      </c>
      <c r="K28" s="11" t="n">
        <v>1</v>
      </c>
    </row>
    <row r="29" customFormat="false" ht="39.75" hidden="false" customHeight="true" outlineLevel="0" collapsed="false">
      <c r="B29" s="11" t="s">
        <v>164</v>
      </c>
      <c r="C29" s="11" t="s">
        <v>258</v>
      </c>
      <c r="D29" s="11" t="s">
        <v>259</v>
      </c>
      <c r="E29" s="9" t="s">
        <v>244</v>
      </c>
      <c r="F29" s="9" t="s">
        <v>245</v>
      </c>
      <c r="G29" s="21" t="n">
        <v>46154</v>
      </c>
      <c r="H29" s="11" t="n">
        <v>1</v>
      </c>
      <c r="I29" s="11" t="n">
        <v>1</v>
      </c>
      <c r="J29" s="11" t="n">
        <v>1</v>
      </c>
      <c r="K29" s="11" t="n">
        <v>1</v>
      </c>
    </row>
    <row r="30" customFormat="false" ht="21.75" hidden="false" customHeight="true" outlineLevel="0" collapsed="false">
      <c r="B30" s="20" t="s">
        <v>260</v>
      </c>
      <c r="C30" s="20"/>
      <c r="D30" s="20"/>
      <c r="E30" s="20"/>
      <c r="F30" s="20"/>
      <c r="G30" s="20"/>
      <c r="H30" s="20"/>
      <c r="I30" s="20"/>
      <c r="J30" s="20"/>
      <c r="K30" s="20"/>
    </row>
    <row r="31" customFormat="false" ht="39.75" hidden="false" customHeight="true" outlineLevel="0" collapsed="false">
      <c r="B31" s="9" t="s">
        <v>171</v>
      </c>
      <c r="C31" s="9" t="s">
        <v>261</v>
      </c>
      <c r="D31" s="9" t="s">
        <v>262</v>
      </c>
      <c r="E31" s="9" t="s">
        <v>263</v>
      </c>
      <c r="F31" s="9" t="s">
        <v>245</v>
      </c>
      <c r="G31" s="21" t="n">
        <v>46154</v>
      </c>
      <c r="H31" s="11" t="n">
        <v>1</v>
      </c>
      <c r="I31" s="16"/>
      <c r="J31" s="22"/>
      <c r="K31" s="23"/>
    </row>
    <row r="32" customFormat="false" ht="39.75" hidden="false" customHeight="true" outlineLevel="0" collapsed="false">
      <c r="B32" s="11" t="s">
        <v>180</v>
      </c>
      <c r="C32" s="11" t="s">
        <v>264</v>
      </c>
      <c r="D32" s="11" t="s">
        <v>265</v>
      </c>
      <c r="E32" s="9" t="s">
        <v>263</v>
      </c>
      <c r="F32" s="9" t="s">
        <v>245</v>
      </c>
      <c r="G32" s="21" t="n">
        <v>46154</v>
      </c>
      <c r="H32" s="11" t="n">
        <v>1</v>
      </c>
      <c r="I32" s="16"/>
      <c r="J32" s="22"/>
      <c r="K32" s="23"/>
    </row>
    <row r="33" customFormat="false" ht="39.75" hidden="false" customHeight="true" outlineLevel="0" collapsed="false">
      <c r="B33" s="9" t="s">
        <v>187</v>
      </c>
      <c r="C33" s="9" t="s">
        <v>266</v>
      </c>
      <c r="D33" s="9" t="s">
        <v>267</v>
      </c>
      <c r="E33" s="9" t="s">
        <v>263</v>
      </c>
      <c r="F33" s="9" t="s">
        <v>245</v>
      </c>
      <c r="G33" s="21" t="n">
        <v>46154</v>
      </c>
      <c r="H33" s="11" t="n">
        <v>1</v>
      </c>
      <c r="I33" s="16"/>
      <c r="J33" s="22"/>
      <c r="K33" s="23"/>
    </row>
    <row r="34" customFormat="false" ht="39.75" hidden="false" customHeight="true" outlineLevel="0" collapsed="false">
      <c r="B34" s="11" t="s">
        <v>268</v>
      </c>
      <c r="C34" s="11" t="s">
        <v>269</v>
      </c>
      <c r="D34" s="11" t="s">
        <v>270</v>
      </c>
      <c r="E34" s="9" t="s">
        <v>263</v>
      </c>
      <c r="F34" s="9" t="s">
        <v>245</v>
      </c>
      <c r="G34" s="21" t="n">
        <v>46154</v>
      </c>
      <c r="H34" s="11" t="n">
        <v>1</v>
      </c>
      <c r="I34" s="16"/>
      <c r="J34" s="22"/>
      <c r="K34" s="23"/>
    </row>
    <row r="35" customFormat="false" ht="21.75" hidden="false" customHeight="true" outlineLevel="0" collapsed="false">
      <c r="B35" s="25" t="s">
        <v>271</v>
      </c>
      <c r="C35" s="25"/>
      <c r="D35" s="25"/>
      <c r="E35" s="26" t="n">
        <f aca="false">COUNTIF(I6:I34,"CUMPLE")</f>
        <v>0</v>
      </c>
      <c r="F35" s="26"/>
      <c r="G35" s="26"/>
      <c r="H35" s="26"/>
      <c r="I35" s="27" t="n">
        <f aca="false">COUNTIF(I6:I34,"NO CUMPLE")</f>
        <v>0</v>
      </c>
      <c r="J35" s="28" t="n">
        <f aca="false">COUNTIF(I6:I34,"PARCIAL")</f>
        <v>0</v>
      </c>
      <c r="K35" s="29" t="str">
        <f aca="false">IFERROR(TEXT(E35/(E35+I35+J35),"0.0%"),"0.0%")</f>
        <v>0.0%</v>
      </c>
    </row>
  </sheetData>
  <mergeCells count="8">
    <mergeCell ref="B2:K2"/>
    <mergeCell ref="B3:K3"/>
    <mergeCell ref="B4:K4"/>
    <mergeCell ref="B6:K6"/>
    <mergeCell ref="B15:K15"/>
    <mergeCell ref="B21:K21"/>
    <mergeCell ref="B30:K30"/>
    <mergeCell ref="B35:D35"/>
  </mergeCells>
  <dataValidations count="1">
    <dataValidation allowBlank="true" errorStyle="stop" operator="between" showDropDown="false" showErrorMessage="false" showInputMessage="false" sqref="I7:I14 I31:I34" type="list">
      <formula1>"CUMPLE,NO CUMPLE,PARCIAL,N/A"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29" activePane="bottomRight" state="frozen"/>
      <selection pane="topLeft" activeCell="A1" activeCellId="0" sqref="A1"/>
      <selection pane="topRight" activeCell="C1" activeCellId="0" sqref="C1"/>
      <selection pane="bottomLeft" activeCell="A29" activeCellId="0" sqref="A29"/>
      <selection pane="bottomRight" activeCell="E30" activeCellId="0" sqref="E30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8" min="5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0"/>
  </cols>
  <sheetData>
    <row r="2" customFormat="false" ht="30" hidden="false" customHeight="true" outlineLevel="0" collapsed="false">
      <c r="B2" s="12" t="s">
        <v>272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8" hidden="false" customHeight="true" outlineLevel="0" collapsed="false">
      <c r="B3" s="13" t="s">
        <v>273</v>
      </c>
      <c r="C3" s="13"/>
      <c r="D3" s="13"/>
      <c r="E3" s="13"/>
      <c r="F3" s="13"/>
      <c r="G3" s="13"/>
      <c r="H3" s="13"/>
      <c r="I3" s="13"/>
      <c r="J3" s="13"/>
      <c r="K3" s="13"/>
    </row>
    <row r="4" customFormat="false" ht="15.75" hidden="false" customHeight="true" outlineLevel="0" collapsed="false">
      <c r="B4" s="19" t="s">
        <v>196</v>
      </c>
      <c r="C4" s="19"/>
      <c r="D4" s="19"/>
      <c r="E4" s="19"/>
      <c r="F4" s="19"/>
      <c r="G4" s="19"/>
      <c r="H4" s="19"/>
      <c r="I4" s="19"/>
      <c r="J4" s="19"/>
      <c r="K4" s="19"/>
    </row>
    <row r="5" customFormat="false" ht="30" hidden="false" customHeight="true" outlineLevel="0" collapsed="false">
      <c r="B5" s="14" t="s">
        <v>30</v>
      </c>
      <c r="C5" s="14" t="s">
        <v>197</v>
      </c>
      <c r="D5" s="14" t="s">
        <v>198</v>
      </c>
      <c r="E5" s="14" t="s">
        <v>199</v>
      </c>
      <c r="F5" s="14" t="s">
        <v>274</v>
      </c>
      <c r="G5" s="14"/>
      <c r="H5" s="14"/>
      <c r="I5" s="14" t="s">
        <v>203</v>
      </c>
      <c r="J5" s="14" t="s">
        <v>204</v>
      </c>
      <c r="K5" s="14" t="s">
        <v>205</v>
      </c>
    </row>
    <row r="6" customFormat="false" ht="21.75" hidden="false" customHeight="true" outlineLevel="0" collapsed="false">
      <c r="B6" s="20" t="s">
        <v>275</v>
      </c>
      <c r="C6" s="20"/>
      <c r="D6" s="20"/>
      <c r="E6" s="20"/>
      <c r="F6" s="20"/>
      <c r="G6" s="20"/>
      <c r="H6" s="20"/>
      <c r="I6" s="20"/>
      <c r="J6" s="20"/>
      <c r="K6" s="20"/>
    </row>
    <row r="7" customFormat="false" ht="39.75" hidden="false" customHeight="true" outlineLevel="0" collapsed="false">
      <c r="B7" s="11" t="s">
        <v>40</v>
      </c>
      <c r="C7" s="11" t="s">
        <v>276</v>
      </c>
      <c r="D7" s="11" t="s">
        <v>277</v>
      </c>
      <c r="E7" s="11" t="s">
        <v>278</v>
      </c>
      <c r="F7" s="24" t="n">
        <v>46155</v>
      </c>
      <c r="G7" s="11"/>
      <c r="H7" s="11"/>
      <c r="I7" s="16"/>
      <c r="J7" s="22"/>
      <c r="K7" s="23"/>
    </row>
    <row r="8" customFormat="false" ht="39.75" hidden="false" customHeight="true" outlineLevel="0" collapsed="false">
      <c r="B8" s="9" t="s">
        <v>49</v>
      </c>
      <c r="C8" s="9" t="s">
        <v>279</v>
      </c>
      <c r="D8" s="9" t="s">
        <v>280</v>
      </c>
      <c r="E8" s="9" t="s">
        <v>281</v>
      </c>
      <c r="F8" s="24" t="n">
        <v>46155</v>
      </c>
      <c r="G8" s="9"/>
      <c r="H8" s="9"/>
      <c r="I8" s="16"/>
      <c r="J8" s="22"/>
      <c r="K8" s="23"/>
    </row>
    <row r="9" customFormat="false" ht="39.75" hidden="false" customHeight="true" outlineLevel="0" collapsed="false">
      <c r="B9" s="11" t="s">
        <v>58</v>
      </c>
      <c r="C9" s="11" t="s">
        <v>282</v>
      </c>
      <c r="D9" s="11" t="s">
        <v>283</v>
      </c>
      <c r="E9" s="11" t="s">
        <v>284</v>
      </c>
      <c r="F9" s="24" t="n">
        <v>46155</v>
      </c>
      <c r="G9" s="11"/>
      <c r="H9" s="11"/>
      <c r="I9" s="16"/>
      <c r="J9" s="22"/>
      <c r="K9" s="23"/>
    </row>
    <row r="10" customFormat="false" ht="39.75" hidden="false" customHeight="true" outlineLevel="0" collapsed="false">
      <c r="B10" s="9" t="s">
        <v>63</v>
      </c>
      <c r="C10" s="9" t="s">
        <v>285</v>
      </c>
      <c r="D10" s="9" t="s">
        <v>286</v>
      </c>
      <c r="E10" s="9" t="s">
        <v>287</v>
      </c>
      <c r="F10" s="24" t="n">
        <v>46155</v>
      </c>
      <c r="G10" s="9"/>
      <c r="H10" s="9"/>
      <c r="I10" s="16"/>
      <c r="J10" s="22"/>
      <c r="K10" s="23"/>
    </row>
    <row r="11" customFormat="false" ht="39.75" hidden="false" customHeight="true" outlineLevel="0" collapsed="false">
      <c r="B11" s="11" t="s">
        <v>70</v>
      </c>
      <c r="C11" s="11" t="s">
        <v>288</v>
      </c>
      <c r="D11" s="11" t="s">
        <v>289</v>
      </c>
      <c r="E11" s="11" t="s">
        <v>281</v>
      </c>
      <c r="F11" s="24" t="n">
        <v>46155</v>
      </c>
      <c r="G11" s="11"/>
      <c r="H11" s="11"/>
      <c r="I11" s="16"/>
      <c r="J11" s="22"/>
      <c r="K11" s="23"/>
    </row>
    <row r="12" customFormat="false" ht="39.75" hidden="false" customHeight="true" outlineLevel="0" collapsed="false">
      <c r="B12" s="9" t="s">
        <v>79</v>
      </c>
      <c r="C12" s="9" t="s">
        <v>290</v>
      </c>
      <c r="D12" s="9" t="s">
        <v>291</v>
      </c>
      <c r="E12" s="11" t="s">
        <v>281</v>
      </c>
      <c r="F12" s="24" t="n">
        <v>46155</v>
      </c>
      <c r="G12" s="11"/>
      <c r="H12" s="11"/>
      <c r="I12" s="16"/>
      <c r="J12" s="22"/>
      <c r="K12" s="23"/>
    </row>
    <row r="13" customFormat="false" ht="39.75" hidden="false" customHeight="true" outlineLevel="0" collapsed="false">
      <c r="B13" s="11" t="s">
        <v>86</v>
      </c>
      <c r="C13" s="11" t="s">
        <v>292</v>
      </c>
      <c r="D13" s="11" t="s">
        <v>293</v>
      </c>
      <c r="E13" s="11" t="s">
        <v>294</v>
      </c>
      <c r="F13" s="24" t="n">
        <v>46155</v>
      </c>
      <c r="G13" s="11"/>
      <c r="H13" s="11"/>
      <c r="I13" s="16"/>
      <c r="J13" s="22"/>
      <c r="K13" s="23"/>
    </row>
    <row r="14" customFormat="false" ht="21.75" hidden="false" customHeight="true" outlineLevel="0" collapsed="false">
      <c r="B14" s="20" t="s">
        <v>295</v>
      </c>
      <c r="C14" s="20"/>
      <c r="D14" s="20"/>
      <c r="E14" s="20"/>
      <c r="F14" s="20"/>
      <c r="G14" s="20"/>
      <c r="H14" s="20"/>
      <c r="I14" s="20"/>
      <c r="J14" s="20"/>
      <c r="K14" s="20"/>
    </row>
    <row r="15" customFormat="false" ht="39.75" hidden="false" customHeight="true" outlineLevel="0" collapsed="false">
      <c r="B15" s="9" t="s">
        <v>94</v>
      </c>
      <c r="C15" s="9" t="s">
        <v>296</v>
      </c>
      <c r="D15" s="9" t="s">
        <v>297</v>
      </c>
      <c r="E15" s="9" t="s">
        <v>284</v>
      </c>
      <c r="F15" s="24" t="n">
        <v>46155</v>
      </c>
      <c r="G15" s="9"/>
      <c r="H15" s="9"/>
      <c r="I15" s="16"/>
      <c r="J15" s="22"/>
      <c r="K15" s="23"/>
    </row>
    <row r="16" customFormat="false" ht="39.75" hidden="false" customHeight="true" outlineLevel="0" collapsed="false">
      <c r="B16" s="11" t="s">
        <v>102</v>
      </c>
      <c r="C16" s="11" t="s">
        <v>298</v>
      </c>
      <c r="D16" s="11" t="s">
        <v>255</v>
      </c>
      <c r="E16" s="9" t="s">
        <v>244</v>
      </c>
      <c r="F16" s="24" t="n">
        <v>46155</v>
      </c>
      <c r="G16" s="11"/>
      <c r="H16" s="11"/>
      <c r="I16" s="16"/>
      <c r="J16" s="22"/>
      <c r="K16" s="23"/>
    </row>
    <row r="17" customFormat="false" ht="39.75" hidden="false" customHeight="true" outlineLevel="0" collapsed="false">
      <c r="B17" s="9" t="s">
        <v>109</v>
      </c>
      <c r="C17" s="9" t="s">
        <v>299</v>
      </c>
      <c r="D17" s="9" t="s">
        <v>300</v>
      </c>
      <c r="E17" s="9" t="s">
        <v>284</v>
      </c>
      <c r="F17" s="24" t="n">
        <v>46155</v>
      </c>
      <c r="G17" s="9"/>
      <c r="H17" s="9"/>
      <c r="I17" s="16"/>
      <c r="J17" s="22"/>
      <c r="K17" s="23"/>
    </row>
    <row r="18" customFormat="false" ht="21.75" hidden="false" customHeight="true" outlineLevel="0" collapsed="false">
      <c r="B18" s="20" t="s">
        <v>301</v>
      </c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39.75" hidden="false" customHeight="true" outlineLevel="0" collapsed="false">
      <c r="B19" s="11" t="s">
        <v>118</v>
      </c>
      <c r="C19" s="11" t="s">
        <v>302</v>
      </c>
      <c r="D19" s="11" t="s">
        <v>303</v>
      </c>
      <c r="E19" s="11" t="s">
        <v>304</v>
      </c>
      <c r="F19" s="24" t="n">
        <v>46155</v>
      </c>
      <c r="G19" s="11"/>
      <c r="H19" s="11"/>
      <c r="I19" s="16"/>
      <c r="J19" s="22"/>
      <c r="K19" s="23"/>
    </row>
    <row r="20" customFormat="false" ht="39.75" hidden="false" customHeight="true" outlineLevel="0" collapsed="false">
      <c r="B20" s="9" t="s">
        <v>125</v>
      </c>
      <c r="C20" s="9" t="s">
        <v>305</v>
      </c>
      <c r="D20" s="9" t="s">
        <v>306</v>
      </c>
      <c r="E20" s="11" t="s">
        <v>304</v>
      </c>
      <c r="F20" s="24" t="n">
        <v>46155</v>
      </c>
      <c r="G20" s="9"/>
      <c r="H20" s="9"/>
      <c r="I20" s="16"/>
      <c r="J20" s="22"/>
      <c r="K20" s="23"/>
    </row>
    <row r="21" customFormat="false" ht="39.75" hidden="false" customHeight="true" outlineLevel="0" collapsed="false">
      <c r="B21" s="11" t="s">
        <v>133</v>
      </c>
      <c r="C21" s="11" t="s">
        <v>307</v>
      </c>
      <c r="D21" s="11" t="s">
        <v>308</v>
      </c>
      <c r="E21" s="11" t="s">
        <v>304</v>
      </c>
      <c r="F21" s="24" t="n">
        <v>46155</v>
      </c>
      <c r="G21" s="11"/>
      <c r="H21" s="11"/>
      <c r="I21" s="16"/>
      <c r="J21" s="22"/>
      <c r="K21" s="23"/>
    </row>
    <row r="22" customFormat="false" ht="39.75" hidden="false" customHeight="true" outlineLevel="0" collapsed="false">
      <c r="B22" s="9" t="s">
        <v>142</v>
      </c>
      <c r="C22" s="9" t="s">
        <v>309</v>
      </c>
      <c r="D22" s="9" t="s">
        <v>310</v>
      </c>
      <c r="E22" s="11" t="s">
        <v>304</v>
      </c>
      <c r="F22" s="24" t="n">
        <v>46155</v>
      </c>
      <c r="G22" s="9"/>
      <c r="H22" s="9"/>
      <c r="I22" s="16"/>
      <c r="J22" s="22"/>
      <c r="K22" s="23"/>
    </row>
    <row r="23" customFormat="false" ht="39.75" hidden="false" customHeight="true" outlineLevel="0" collapsed="false">
      <c r="B23" s="11" t="s">
        <v>150</v>
      </c>
      <c r="C23" s="11" t="s">
        <v>311</v>
      </c>
      <c r="D23" s="11" t="s">
        <v>312</v>
      </c>
      <c r="E23" s="11" t="s">
        <v>304</v>
      </c>
      <c r="F23" s="24" t="n">
        <v>46155</v>
      </c>
      <c r="G23" s="11"/>
      <c r="H23" s="11"/>
      <c r="I23" s="16"/>
      <c r="J23" s="22"/>
      <c r="K23" s="23"/>
    </row>
    <row r="24" customFormat="false" ht="39.75" hidden="false" customHeight="true" outlineLevel="0" collapsed="false">
      <c r="B24" s="9" t="s">
        <v>156</v>
      </c>
      <c r="C24" s="9" t="s">
        <v>313</v>
      </c>
      <c r="D24" s="9" t="s">
        <v>314</v>
      </c>
      <c r="E24" s="11" t="s">
        <v>304</v>
      </c>
      <c r="F24" s="24" t="n">
        <v>46155</v>
      </c>
      <c r="G24" s="9"/>
      <c r="H24" s="9"/>
      <c r="I24" s="16"/>
      <c r="J24" s="22"/>
      <c r="K24" s="23"/>
    </row>
    <row r="25" customFormat="false" ht="39.75" hidden="false" customHeight="true" outlineLevel="0" collapsed="false">
      <c r="B25" s="11" t="s">
        <v>164</v>
      </c>
      <c r="C25" s="11" t="s">
        <v>315</v>
      </c>
      <c r="D25" s="11" t="s">
        <v>316</v>
      </c>
      <c r="E25" s="11" t="s">
        <v>304</v>
      </c>
      <c r="F25" s="24" t="n">
        <v>46155</v>
      </c>
      <c r="G25" s="11"/>
      <c r="H25" s="11"/>
      <c r="I25" s="16"/>
      <c r="J25" s="22"/>
      <c r="K25" s="23"/>
    </row>
    <row r="26" customFormat="false" ht="21.75" hidden="false" customHeight="true" outlineLevel="0" collapsed="false">
      <c r="B26" s="20" t="s">
        <v>317</v>
      </c>
      <c r="C26" s="20"/>
      <c r="D26" s="20"/>
      <c r="E26" s="20"/>
      <c r="F26" s="20"/>
      <c r="G26" s="20"/>
      <c r="H26" s="20"/>
      <c r="I26" s="20"/>
      <c r="J26" s="20"/>
      <c r="K26" s="20"/>
    </row>
    <row r="27" customFormat="false" ht="39.75" hidden="false" customHeight="true" outlineLevel="0" collapsed="false">
      <c r="B27" s="9" t="s">
        <v>171</v>
      </c>
      <c r="C27" s="9" t="s">
        <v>318</v>
      </c>
      <c r="D27" s="9" t="s">
        <v>319</v>
      </c>
      <c r="E27" s="9" t="s">
        <v>320</v>
      </c>
      <c r="F27" s="24" t="n">
        <v>46155</v>
      </c>
      <c r="G27" s="9"/>
      <c r="H27" s="9"/>
      <c r="I27" s="16"/>
      <c r="J27" s="22"/>
      <c r="K27" s="23"/>
    </row>
    <row r="28" customFormat="false" ht="39.75" hidden="false" customHeight="true" outlineLevel="0" collapsed="false">
      <c r="B28" s="11" t="s">
        <v>180</v>
      </c>
      <c r="C28" s="11" t="s">
        <v>321</v>
      </c>
      <c r="D28" s="11" t="s">
        <v>322</v>
      </c>
      <c r="E28" s="9" t="s">
        <v>320</v>
      </c>
      <c r="F28" s="24" t="n">
        <v>46155</v>
      </c>
      <c r="G28" s="11"/>
      <c r="H28" s="11"/>
      <c r="I28" s="16"/>
      <c r="J28" s="22"/>
      <c r="K28" s="23"/>
    </row>
    <row r="29" customFormat="false" ht="39.75" hidden="false" customHeight="true" outlineLevel="0" collapsed="false">
      <c r="B29" s="9" t="s">
        <v>187</v>
      </c>
      <c r="C29" s="9" t="s">
        <v>323</v>
      </c>
      <c r="D29" s="9" t="s">
        <v>324</v>
      </c>
      <c r="E29" s="9" t="s">
        <v>320</v>
      </c>
      <c r="F29" s="24" t="n">
        <v>46155</v>
      </c>
      <c r="G29" s="9"/>
      <c r="H29" s="9"/>
      <c r="I29" s="16"/>
      <c r="J29" s="22"/>
      <c r="K29" s="23"/>
    </row>
    <row r="30" customFormat="false" ht="39.75" hidden="false" customHeight="true" outlineLevel="0" collapsed="false">
      <c r="B30" s="11" t="s">
        <v>268</v>
      </c>
      <c r="C30" s="11" t="s">
        <v>325</v>
      </c>
      <c r="D30" s="11" t="s">
        <v>326</v>
      </c>
      <c r="E30" s="11" t="s">
        <v>327</v>
      </c>
      <c r="F30" s="24" t="n">
        <v>46155</v>
      </c>
      <c r="G30" s="11"/>
      <c r="H30" s="11"/>
      <c r="I30" s="16"/>
      <c r="J30" s="22"/>
      <c r="K30" s="23"/>
    </row>
    <row r="31" customFormat="false" ht="39.75" hidden="false" customHeight="true" outlineLevel="0" collapsed="false">
      <c r="B31" s="9" t="s">
        <v>328</v>
      </c>
      <c r="C31" s="9" t="s">
        <v>329</v>
      </c>
      <c r="D31" s="9" t="s">
        <v>330</v>
      </c>
      <c r="E31" s="11" t="s">
        <v>331</v>
      </c>
      <c r="F31" s="24" t="n">
        <v>46155</v>
      </c>
      <c r="G31" s="9"/>
      <c r="H31" s="9"/>
      <c r="I31" s="16"/>
      <c r="J31" s="22"/>
      <c r="K31" s="23"/>
    </row>
    <row r="32" customFormat="false" ht="39.75" hidden="false" customHeight="true" outlineLevel="0" collapsed="false">
      <c r="B32" s="11" t="s">
        <v>332</v>
      </c>
      <c r="C32" s="11" t="s">
        <v>333</v>
      </c>
      <c r="D32" s="11" t="s">
        <v>334</v>
      </c>
      <c r="E32" s="9" t="s">
        <v>320</v>
      </c>
      <c r="F32" s="24" t="n">
        <v>46155</v>
      </c>
      <c r="G32" s="11"/>
      <c r="H32" s="11"/>
      <c r="I32" s="16"/>
      <c r="J32" s="22"/>
      <c r="K32" s="23"/>
    </row>
    <row r="33" customFormat="false" ht="39.75" hidden="false" customHeight="true" outlineLevel="0" collapsed="false">
      <c r="B33" s="9" t="s">
        <v>335</v>
      </c>
      <c r="C33" s="9" t="s">
        <v>336</v>
      </c>
      <c r="D33" s="9" t="s">
        <v>337</v>
      </c>
      <c r="E33" s="9" t="s">
        <v>320</v>
      </c>
      <c r="F33" s="24" t="n">
        <v>46155</v>
      </c>
      <c r="G33" s="9"/>
      <c r="H33" s="9"/>
      <c r="I33" s="16"/>
      <c r="J33" s="22"/>
      <c r="K33" s="23"/>
    </row>
    <row r="34" customFormat="false" ht="21.75" hidden="false" customHeight="true" outlineLevel="0" collapsed="false">
      <c r="B34" s="25" t="s">
        <v>271</v>
      </c>
      <c r="C34" s="25"/>
      <c r="D34" s="25"/>
      <c r="E34" s="26" t="n">
        <f aca="false">COUNTIF(I6:I33,"CUMPLE")</f>
        <v>0</v>
      </c>
      <c r="F34" s="26"/>
      <c r="G34" s="26"/>
      <c r="H34" s="26"/>
      <c r="I34" s="27" t="n">
        <f aca="false">COUNTIF(I6:I33,"NO CUMPLE")</f>
        <v>0</v>
      </c>
      <c r="J34" s="28" t="n">
        <f aca="false">COUNTIF(I6:I33,"PARCIAL")</f>
        <v>0</v>
      </c>
      <c r="K34" s="29" t="str">
        <f aca="false">IFERROR(TEXT(E34/(E34+I34+J34),"0.0%"),"0.0%")</f>
        <v>0.0%</v>
      </c>
    </row>
  </sheetData>
  <mergeCells count="8">
    <mergeCell ref="B2:K2"/>
    <mergeCell ref="B3:K3"/>
    <mergeCell ref="B4:K4"/>
    <mergeCell ref="B6:K6"/>
    <mergeCell ref="B14:K14"/>
    <mergeCell ref="B18:K18"/>
    <mergeCell ref="B26:K26"/>
    <mergeCell ref="B34:D34"/>
  </mergeCells>
  <dataValidations count="1">
    <dataValidation allowBlank="true" errorStyle="stop" operator="between" showDropDown="false" showErrorMessage="false" showInputMessage="false" sqref="I7:I13 I15:I17 I19:I25 I27:I33" type="list">
      <formula1>"CUMPLE,NO CUMPLE,PARCIAL,N/A"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E27" activeCellId="0" sqref="E27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0"/>
  </cols>
  <sheetData>
    <row r="2" customFormat="false" ht="30" hidden="false" customHeight="true" outlineLevel="0" collapsed="false">
      <c r="B2" s="12" t="s">
        <v>338</v>
      </c>
      <c r="C2" s="12"/>
      <c r="D2" s="12"/>
      <c r="E2" s="12"/>
      <c r="F2" s="12"/>
      <c r="G2" s="12"/>
      <c r="H2" s="12"/>
      <c r="I2" s="12"/>
    </row>
    <row r="3" customFormat="false" ht="18" hidden="false" customHeight="true" outlineLevel="0" collapsed="false">
      <c r="B3" s="13" t="s">
        <v>339</v>
      </c>
      <c r="C3" s="13"/>
      <c r="D3" s="13"/>
      <c r="E3" s="13"/>
      <c r="F3" s="13"/>
      <c r="G3" s="13"/>
      <c r="H3" s="13"/>
      <c r="I3" s="13"/>
    </row>
    <row r="4" customFormat="false" ht="15.75" hidden="false" customHeight="true" outlineLevel="0" collapsed="false">
      <c r="B4" s="19" t="s">
        <v>196</v>
      </c>
      <c r="C4" s="19"/>
      <c r="D4" s="19"/>
      <c r="E4" s="19"/>
      <c r="F4" s="19"/>
      <c r="G4" s="19"/>
      <c r="H4" s="19"/>
      <c r="I4" s="19"/>
    </row>
    <row r="5" customFormat="false" ht="30" hidden="false" customHeight="true" outlineLevel="0" collapsed="false">
      <c r="B5" s="14" t="s">
        <v>30</v>
      </c>
      <c r="C5" s="14" t="s">
        <v>197</v>
      </c>
      <c r="D5" s="14" t="s">
        <v>198</v>
      </c>
      <c r="E5" s="14" t="s">
        <v>199</v>
      </c>
      <c r="F5" s="14" t="s">
        <v>274</v>
      </c>
      <c r="G5" s="14" t="s">
        <v>203</v>
      </c>
      <c r="H5" s="14" t="s">
        <v>204</v>
      </c>
      <c r="I5" s="14" t="s">
        <v>205</v>
      </c>
    </row>
    <row r="6" customFormat="false" ht="21.75" hidden="false" customHeight="true" outlineLevel="0" collapsed="false">
      <c r="B6" s="20" t="s">
        <v>340</v>
      </c>
      <c r="C6" s="20"/>
      <c r="D6" s="20"/>
      <c r="E6" s="20"/>
      <c r="F6" s="20"/>
      <c r="G6" s="20"/>
      <c r="H6" s="20"/>
      <c r="I6" s="20"/>
    </row>
    <row r="7" customFormat="false" ht="39.75" hidden="false" customHeight="true" outlineLevel="0" collapsed="false">
      <c r="B7" s="11" t="s">
        <v>40</v>
      </c>
      <c r="C7" s="11" t="s">
        <v>341</v>
      </c>
      <c r="D7" s="11" t="s">
        <v>342</v>
      </c>
      <c r="E7" s="11" t="s">
        <v>343</v>
      </c>
      <c r="F7" s="24" t="n">
        <v>46155</v>
      </c>
      <c r="G7" s="16"/>
      <c r="H7" s="22"/>
      <c r="I7" s="23"/>
    </row>
    <row r="8" customFormat="false" ht="39.75" hidden="false" customHeight="true" outlineLevel="0" collapsed="false">
      <c r="B8" s="9" t="s">
        <v>49</v>
      </c>
      <c r="C8" s="9" t="s">
        <v>344</v>
      </c>
      <c r="D8" s="9" t="s">
        <v>345</v>
      </c>
      <c r="E8" s="11" t="s">
        <v>343</v>
      </c>
      <c r="F8" s="24" t="n">
        <v>46155</v>
      </c>
      <c r="G8" s="16"/>
      <c r="H8" s="22"/>
      <c r="I8" s="23"/>
    </row>
    <row r="9" customFormat="false" ht="39.75" hidden="false" customHeight="true" outlineLevel="0" collapsed="false">
      <c r="B9" s="11" t="s">
        <v>58</v>
      </c>
      <c r="C9" s="11" t="s">
        <v>346</v>
      </c>
      <c r="D9" s="11" t="s">
        <v>347</v>
      </c>
      <c r="E9" s="11" t="s">
        <v>343</v>
      </c>
      <c r="F9" s="24" t="n">
        <v>46155</v>
      </c>
      <c r="G9" s="16"/>
      <c r="H9" s="22"/>
      <c r="I9" s="23"/>
    </row>
    <row r="10" customFormat="false" ht="39.75" hidden="false" customHeight="true" outlineLevel="0" collapsed="false">
      <c r="B10" s="9" t="s">
        <v>63</v>
      </c>
      <c r="C10" s="9" t="s">
        <v>348</v>
      </c>
      <c r="D10" s="9" t="s">
        <v>342</v>
      </c>
      <c r="E10" s="11" t="s">
        <v>343</v>
      </c>
      <c r="F10" s="24" t="n">
        <v>46155</v>
      </c>
      <c r="G10" s="16"/>
      <c r="H10" s="22"/>
      <c r="I10" s="23"/>
    </row>
    <row r="11" customFormat="false" ht="21.75" hidden="false" customHeight="true" outlineLevel="0" collapsed="false">
      <c r="B11" s="20" t="s">
        <v>349</v>
      </c>
      <c r="C11" s="20"/>
      <c r="D11" s="20"/>
      <c r="E11" s="20"/>
      <c r="F11" s="20"/>
      <c r="G11" s="20"/>
      <c r="H11" s="20"/>
      <c r="I11" s="20"/>
    </row>
    <row r="12" customFormat="false" ht="39.75" hidden="false" customHeight="true" outlineLevel="0" collapsed="false">
      <c r="B12" s="11" t="s">
        <v>70</v>
      </c>
      <c r="C12" s="11" t="s">
        <v>350</v>
      </c>
      <c r="D12" s="11" t="s">
        <v>351</v>
      </c>
      <c r="E12" s="11" t="s">
        <v>352</v>
      </c>
      <c r="F12" s="24" t="n">
        <v>46155</v>
      </c>
      <c r="G12" s="16"/>
      <c r="H12" s="22"/>
      <c r="I12" s="23"/>
    </row>
    <row r="13" customFormat="false" ht="39.75" hidden="false" customHeight="true" outlineLevel="0" collapsed="false">
      <c r="B13" s="9" t="s">
        <v>79</v>
      </c>
      <c r="C13" s="9" t="s">
        <v>353</v>
      </c>
      <c r="D13" s="9" t="s">
        <v>354</v>
      </c>
      <c r="E13" s="11" t="s">
        <v>352</v>
      </c>
      <c r="F13" s="24" t="n">
        <v>46155</v>
      </c>
      <c r="G13" s="16"/>
      <c r="H13" s="22"/>
      <c r="I13" s="23"/>
    </row>
    <row r="14" customFormat="false" ht="39.75" hidden="false" customHeight="true" outlineLevel="0" collapsed="false">
      <c r="B14" s="11" t="s">
        <v>86</v>
      </c>
      <c r="C14" s="11" t="s">
        <v>355</v>
      </c>
      <c r="D14" s="11" t="s">
        <v>255</v>
      </c>
      <c r="E14" s="11" t="s">
        <v>352</v>
      </c>
      <c r="F14" s="24" t="n">
        <v>46155</v>
      </c>
      <c r="G14" s="16"/>
      <c r="H14" s="22"/>
      <c r="I14" s="23"/>
    </row>
    <row r="15" customFormat="false" ht="39.75" hidden="false" customHeight="true" outlineLevel="0" collapsed="false">
      <c r="B15" s="9" t="s">
        <v>94</v>
      </c>
      <c r="C15" s="9" t="s">
        <v>356</v>
      </c>
      <c r="D15" s="9" t="s">
        <v>357</v>
      </c>
      <c r="E15" s="11" t="s">
        <v>358</v>
      </c>
      <c r="F15" s="24" t="n">
        <v>46155</v>
      </c>
      <c r="G15" s="16"/>
      <c r="H15" s="22"/>
      <c r="I15" s="23"/>
    </row>
    <row r="16" customFormat="false" ht="39.75" hidden="false" customHeight="true" outlineLevel="0" collapsed="false">
      <c r="B16" s="11" t="s">
        <v>102</v>
      </c>
      <c r="C16" s="11" t="s">
        <v>359</v>
      </c>
      <c r="D16" s="11" t="s">
        <v>360</v>
      </c>
      <c r="E16" s="11" t="s">
        <v>361</v>
      </c>
      <c r="F16" s="24" t="n">
        <v>46155</v>
      </c>
      <c r="G16" s="16"/>
      <c r="H16" s="22"/>
      <c r="I16" s="23"/>
    </row>
    <row r="17" customFormat="false" ht="39.75" hidden="false" customHeight="true" outlineLevel="0" collapsed="false">
      <c r="B17" s="9" t="s">
        <v>109</v>
      </c>
      <c r="C17" s="9" t="s">
        <v>362</v>
      </c>
      <c r="D17" s="9" t="s">
        <v>255</v>
      </c>
      <c r="E17" s="11" t="s">
        <v>363</v>
      </c>
      <c r="F17" s="24" t="n">
        <v>46155</v>
      </c>
      <c r="G17" s="16"/>
      <c r="H17" s="22"/>
      <c r="I17" s="23"/>
    </row>
    <row r="18" customFormat="false" ht="21.75" hidden="false" customHeight="true" outlineLevel="0" collapsed="false">
      <c r="B18" s="20" t="s">
        <v>364</v>
      </c>
      <c r="C18" s="20"/>
      <c r="D18" s="20"/>
      <c r="E18" s="20"/>
      <c r="F18" s="20"/>
      <c r="G18" s="20"/>
      <c r="H18" s="20"/>
      <c r="I18" s="20"/>
    </row>
    <row r="19" customFormat="false" ht="39.75" hidden="false" customHeight="true" outlineLevel="0" collapsed="false">
      <c r="B19" s="11" t="s">
        <v>118</v>
      </c>
      <c r="C19" s="11" t="s">
        <v>365</v>
      </c>
      <c r="D19" s="11" t="s">
        <v>366</v>
      </c>
      <c r="E19" s="11" t="s">
        <v>352</v>
      </c>
      <c r="F19" s="24" t="n">
        <v>46155</v>
      </c>
      <c r="G19" s="16"/>
      <c r="H19" s="22"/>
      <c r="I19" s="23"/>
    </row>
    <row r="20" customFormat="false" ht="39.75" hidden="false" customHeight="true" outlineLevel="0" collapsed="false">
      <c r="B20" s="9" t="s">
        <v>125</v>
      </c>
      <c r="C20" s="9" t="s">
        <v>367</v>
      </c>
      <c r="D20" s="9" t="s">
        <v>368</v>
      </c>
      <c r="E20" s="11" t="s">
        <v>352</v>
      </c>
      <c r="F20" s="24" t="n">
        <v>46155</v>
      </c>
      <c r="G20" s="16"/>
      <c r="H20" s="22"/>
      <c r="I20" s="23"/>
    </row>
    <row r="21" customFormat="false" ht="39.75" hidden="false" customHeight="true" outlineLevel="0" collapsed="false">
      <c r="B21" s="11" t="s">
        <v>133</v>
      </c>
      <c r="C21" s="11" t="s">
        <v>369</v>
      </c>
      <c r="D21" s="11" t="s">
        <v>370</v>
      </c>
      <c r="E21" s="11" t="s">
        <v>352</v>
      </c>
      <c r="F21" s="24" t="n">
        <v>46155</v>
      </c>
      <c r="G21" s="16"/>
      <c r="H21" s="22"/>
      <c r="I21" s="23"/>
    </row>
    <row r="22" customFormat="false" ht="39.75" hidden="false" customHeight="true" outlineLevel="0" collapsed="false">
      <c r="B22" s="9" t="s">
        <v>142</v>
      </c>
      <c r="C22" s="9" t="s">
        <v>371</v>
      </c>
      <c r="D22" s="9" t="s">
        <v>237</v>
      </c>
      <c r="E22" s="11" t="s">
        <v>372</v>
      </c>
      <c r="F22" s="24" t="n">
        <v>46155</v>
      </c>
      <c r="G22" s="16"/>
      <c r="H22" s="22"/>
      <c r="I22" s="23"/>
    </row>
    <row r="23" customFormat="false" ht="21.75" hidden="false" customHeight="true" outlineLevel="0" collapsed="false">
      <c r="B23" s="20" t="s">
        <v>373</v>
      </c>
      <c r="C23" s="20"/>
      <c r="D23" s="20"/>
      <c r="E23" s="20"/>
      <c r="F23" s="20"/>
      <c r="G23" s="20"/>
      <c r="H23" s="20"/>
      <c r="I23" s="20"/>
    </row>
    <row r="24" customFormat="false" ht="39.75" hidden="false" customHeight="true" outlineLevel="0" collapsed="false">
      <c r="B24" s="11" t="s">
        <v>150</v>
      </c>
      <c r="C24" s="11" t="s">
        <v>374</v>
      </c>
      <c r="D24" s="11" t="s">
        <v>375</v>
      </c>
      <c r="E24" s="11" t="s">
        <v>376</v>
      </c>
      <c r="F24" s="24" t="n">
        <v>46155</v>
      </c>
      <c r="G24" s="16"/>
      <c r="H24" s="22"/>
      <c r="I24" s="23"/>
    </row>
    <row r="25" customFormat="false" ht="39.75" hidden="false" customHeight="true" outlineLevel="0" collapsed="false">
      <c r="B25" s="9" t="s">
        <v>156</v>
      </c>
      <c r="C25" s="9" t="s">
        <v>377</v>
      </c>
      <c r="D25" s="9" t="s">
        <v>378</v>
      </c>
      <c r="E25" s="9" t="s">
        <v>284</v>
      </c>
      <c r="F25" s="24" t="n">
        <v>46155</v>
      </c>
      <c r="G25" s="16"/>
      <c r="H25" s="22"/>
      <c r="I25" s="23"/>
    </row>
    <row r="26" customFormat="false" ht="39.75" hidden="false" customHeight="true" outlineLevel="0" collapsed="false">
      <c r="B26" s="11" t="s">
        <v>164</v>
      </c>
      <c r="C26" s="11" t="s">
        <v>379</v>
      </c>
      <c r="D26" s="11" t="s">
        <v>380</v>
      </c>
      <c r="E26" s="11" t="s">
        <v>381</v>
      </c>
      <c r="F26" s="24" t="n">
        <v>46155</v>
      </c>
      <c r="G26" s="16"/>
      <c r="H26" s="22"/>
      <c r="I26" s="23"/>
    </row>
    <row r="27" customFormat="false" ht="39.75" hidden="false" customHeight="true" outlineLevel="0" collapsed="false">
      <c r="B27" s="9" t="s">
        <v>171</v>
      </c>
      <c r="C27" s="9" t="s">
        <v>382</v>
      </c>
      <c r="D27" s="9" t="s">
        <v>383</v>
      </c>
      <c r="E27" s="9" t="s">
        <v>284</v>
      </c>
      <c r="F27" s="24" t="n">
        <v>46155</v>
      </c>
      <c r="G27" s="16"/>
      <c r="H27" s="22"/>
      <c r="I27" s="23"/>
    </row>
    <row r="28" customFormat="false" ht="39.75" hidden="false" customHeight="true" outlineLevel="0" collapsed="false">
      <c r="B28" s="11" t="s">
        <v>180</v>
      </c>
      <c r="C28" s="11" t="s">
        <v>384</v>
      </c>
      <c r="D28" s="11" t="s">
        <v>385</v>
      </c>
      <c r="E28" s="9" t="s">
        <v>284</v>
      </c>
      <c r="F28" s="24" t="n">
        <v>46155</v>
      </c>
      <c r="G28" s="16"/>
      <c r="H28" s="22"/>
      <c r="I28" s="23"/>
    </row>
    <row r="29" customFormat="false" ht="21.75" hidden="false" customHeight="true" outlineLevel="0" collapsed="false">
      <c r="B29" s="25" t="s">
        <v>271</v>
      </c>
      <c r="C29" s="25"/>
      <c r="D29" s="25"/>
      <c r="E29" s="26" t="n">
        <f aca="false">COUNTIF(G6:G28,"CUMPLE")</f>
        <v>0</v>
      </c>
      <c r="F29" s="26"/>
      <c r="G29" s="27" t="n">
        <f aca="false">COUNTIF(G6:G28,"NO CUMPLE")</f>
        <v>0</v>
      </c>
      <c r="H29" s="28" t="n">
        <f aca="false">COUNTIF(G6:G28,"PARCIAL")</f>
        <v>0</v>
      </c>
      <c r="I29" s="29" t="str">
        <f aca="false">IFERROR(TEXT(E29/(E29+G29+H29),"0.0%"),"0.0%")</f>
        <v>0.0%</v>
      </c>
    </row>
  </sheetData>
  <mergeCells count="8">
    <mergeCell ref="B2:I2"/>
    <mergeCell ref="B3:I3"/>
    <mergeCell ref="B4:I4"/>
    <mergeCell ref="B6:I6"/>
    <mergeCell ref="B11:I11"/>
    <mergeCell ref="B18:I18"/>
    <mergeCell ref="B23:I23"/>
    <mergeCell ref="B29:D29"/>
  </mergeCells>
  <dataValidations count="1">
    <dataValidation allowBlank="true" errorStyle="stop" operator="between" showDropDown="false" showErrorMessage="false" showInputMessage="false" sqref="G7:G10 G12:G17 G19:G22 G24:G28" type="list">
      <formula1>"CUMPLE,NO CUMPLE,PARCIAL,N/A"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I6" activeCellId="0" sqref="I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30" width="18"/>
    <col collapsed="false" customWidth="true" hidden="false" outlineLevel="0" max="11" min="11" style="0" width="16"/>
  </cols>
  <sheetData>
    <row r="2" customFormat="false" ht="30" hidden="false" customHeight="true" outlineLevel="0" collapsed="false">
      <c r="B2" s="12" t="s">
        <v>386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8" hidden="false" customHeight="true" outlineLevel="0" collapsed="false">
      <c r="B3" s="13" t="s">
        <v>387</v>
      </c>
      <c r="C3" s="13"/>
      <c r="D3" s="13"/>
      <c r="E3" s="13"/>
      <c r="F3" s="13"/>
      <c r="G3" s="13"/>
      <c r="H3" s="13"/>
      <c r="I3" s="13"/>
      <c r="J3" s="13"/>
      <c r="K3" s="13"/>
    </row>
    <row r="5" customFormat="false" ht="33.75" hidden="false" customHeight="true" outlineLevel="0" collapsed="false">
      <c r="B5" s="14" t="s">
        <v>388</v>
      </c>
      <c r="C5" s="14" t="s">
        <v>389</v>
      </c>
      <c r="D5" s="14" t="s">
        <v>390</v>
      </c>
      <c r="E5" s="14" t="s">
        <v>391</v>
      </c>
      <c r="F5" s="14" t="s">
        <v>392</v>
      </c>
      <c r="G5" s="14" t="s">
        <v>393</v>
      </c>
      <c r="H5" s="14" t="s">
        <v>394</v>
      </c>
      <c r="I5" s="14" t="s">
        <v>199</v>
      </c>
      <c r="J5" s="14" t="s">
        <v>395</v>
      </c>
      <c r="K5" s="14" t="s">
        <v>396</v>
      </c>
      <c r="L5" s="14" t="s">
        <v>397</v>
      </c>
    </row>
    <row r="6" customFormat="false" ht="83.1" hidden="false" customHeight="false" outlineLevel="0" collapsed="false">
      <c r="B6" s="9" t="s">
        <v>398</v>
      </c>
      <c r="C6" s="9" t="s">
        <v>229</v>
      </c>
      <c r="D6" s="9" t="s">
        <v>399</v>
      </c>
      <c r="E6" s="9" t="s">
        <v>400</v>
      </c>
      <c r="F6" s="9" t="s">
        <v>401</v>
      </c>
      <c r="G6" s="9" t="s">
        <v>402</v>
      </c>
      <c r="H6" s="9" t="s">
        <v>403</v>
      </c>
      <c r="I6" s="9" t="s">
        <v>404</v>
      </c>
      <c r="J6" s="31" t="n">
        <v>46155</v>
      </c>
      <c r="K6" s="9" t="s">
        <v>405</v>
      </c>
      <c r="L6" s="9"/>
    </row>
    <row r="7" customFormat="false" ht="72.85" hidden="false" customHeight="false" outlineLevel="0" collapsed="false">
      <c r="B7" s="11" t="s">
        <v>406</v>
      </c>
      <c r="C7" s="11" t="s">
        <v>229</v>
      </c>
      <c r="D7" s="11" t="s">
        <v>407</v>
      </c>
      <c r="E7" s="11" t="s">
        <v>408</v>
      </c>
      <c r="F7" s="11" t="s">
        <v>409</v>
      </c>
      <c r="G7" s="11" t="s">
        <v>410</v>
      </c>
      <c r="H7" s="11" t="s">
        <v>411</v>
      </c>
      <c r="I7" s="11" t="s">
        <v>284</v>
      </c>
      <c r="J7" s="31" t="n">
        <v>46155</v>
      </c>
      <c r="K7" s="11" t="s">
        <v>405</v>
      </c>
      <c r="L7" s="11"/>
    </row>
    <row r="8" customFormat="false" ht="72.85" hidden="false" customHeight="false" outlineLevel="0" collapsed="false">
      <c r="B8" s="9" t="s">
        <v>412</v>
      </c>
      <c r="C8" s="9" t="s">
        <v>229</v>
      </c>
      <c r="D8" s="9" t="s">
        <v>413</v>
      </c>
      <c r="E8" s="9" t="s">
        <v>414</v>
      </c>
      <c r="F8" s="9" t="s">
        <v>415</v>
      </c>
      <c r="G8" s="9" t="s">
        <v>416</v>
      </c>
      <c r="H8" s="9" t="s">
        <v>417</v>
      </c>
      <c r="I8" s="11" t="s">
        <v>284</v>
      </c>
      <c r="J8" s="31" t="n">
        <v>46155</v>
      </c>
      <c r="K8" s="9" t="s">
        <v>405</v>
      </c>
      <c r="L8" s="9"/>
    </row>
    <row r="9" customFormat="false" ht="72.85" hidden="false" customHeight="false" outlineLevel="0" collapsed="false">
      <c r="B9" s="11" t="s">
        <v>418</v>
      </c>
      <c r="C9" s="11" t="s">
        <v>229</v>
      </c>
      <c r="D9" s="11" t="s">
        <v>419</v>
      </c>
      <c r="E9" s="11" t="s">
        <v>420</v>
      </c>
      <c r="F9" s="11" t="s">
        <v>421</v>
      </c>
      <c r="G9" s="11" t="s">
        <v>422</v>
      </c>
      <c r="H9" s="11" t="s">
        <v>423</v>
      </c>
      <c r="I9" s="11" t="s">
        <v>284</v>
      </c>
      <c r="J9" s="31" t="n">
        <v>46155</v>
      </c>
      <c r="K9" s="11" t="s">
        <v>405</v>
      </c>
      <c r="L9" s="11"/>
    </row>
    <row r="10" customFormat="false" ht="62.65" hidden="false" customHeight="false" outlineLevel="0" collapsed="false">
      <c r="B10" s="9" t="s">
        <v>424</v>
      </c>
      <c r="C10" s="9" t="s">
        <v>229</v>
      </c>
      <c r="D10" s="9" t="s">
        <v>425</v>
      </c>
      <c r="E10" s="9" t="s">
        <v>426</v>
      </c>
      <c r="F10" s="9" t="s">
        <v>409</v>
      </c>
      <c r="G10" s="9" t="s">
        <v>427</v>
      </c>
      <c r="H10" s="9" t="s">
        <v>428</v>
      </c>
      <c r="I10" s="9" t="s">
        <v>429</v>
      </c>
      <c r="J10" s="31" t="n">
        <v>46155</v>
      </c>
      <c r="K10" s="9" t="s">
        <v>405</v>
      </c>
      <c r="L10" s="9"/>
    </row>
    <row r="11" customFormat="false" ht="37.5" hidden="false" customHeight="true" outlineLevel="0" collapsed="false">
      <c r="B11" s="32"/>
      <c r="C11" s="32"/>
      <c r="D11" s="32"/>
      <c r="E11" s="32"/>
      <c r="F11" s="32"/>
      <c r="G11" s="32"/>
      <c r="H11" s="32"/>
      <c r="I11" s="32"/>
      <c r="J11" s="33"/>
      <c r="K11" s="32"/>
      <c r="L11" s="32"/>
    </row>
    <row r="12" customFormat="false" ht="37.5" hidden="false" customHeight="true" outlineLevel="0" collapsed="false">
      <c r="B12" s="34"/>
      <c r="C12" s="34"/>
      <c r="D12" s="34"/>
      <c r="E12" s="34"/>
      <c r="F12" s="34"/>
      <c r="G12" s="34"/>
      <c r="H12" s="34"/>
      <c r="I12" s="34"/>
      <c r="J12" s="33"/>
      <c r="K12" s="34"/>
      <c r="L12" s="34"/>
    </row>
    <row r="13" customFormat="false" ht="37.5" hidden="false" customHeight="true" outlineLevel="0" collapsed="false">
      <c r="B13" s="32"/>
      <c r="C13" s="32"/>
      <c r="D13" s="32"/>
      <c r="E13" s="32"/>
      <c r="F13" s="32"/>
      <c r="G13" s="32"/>
      <c r="H13" s="32"/>
      <c r="I13" s="32"/>
      <c r="J13" s="33"/>
      <c r="K13" s="32"/>
      <c r="L13" s="32"/>
    </row>
    <row r="14" customFormat="false" ht="37.5" hidden="false" customHeight="true" outlineLevel="0" collapsed="false">
      <c r="B14" s="34"/>
      <c r="C14" s="34"/>
      <c r="D14" s="34"/>
      <c r="E14" s="34"/>
      <c r="F14" s="34"/>
      <c r="G14" s="34"/>
      <c r="H14" s="34"/>
      <c r="I14" s="34"/>
      <c r="J14" s="33"/>
      <c r="K14" s="34"/>
      <c r="L14" s="34"/>
    </row>
    <row r="15" customFormat="false" ht="37.5" hidden="false" customHeight="true" outlineLevel="0" collapsed="false">
      <c r="B15" s="32"/>
      <c r="C15" s="32"/>
      <c r="D15" s="32"/>
      <c r="E15" s="32"/>
      <c r="F15" s="32"/>
      <c r="G15" s="32"/>
      <c r="H15" s="32"/>
      <c r="I15" s="32"/>
      <c r="J15" s="33"/>
      <c r="K15" s="32"/>
      <c r="L15" s="32"/>
    </row>
    <row r="16" customFormat="false" ht="37.5" hidden="false" customHeight="true" outlineLevel="0" collapsed="false">
      <c r="B16" s="34"/>
      <c r="C16" s="34"/>
      <c r="D16" s="34"/>
      <c r="E16" s="34"/>
      <c r="F16" s="34"/>
      <c r="G16" s="34"/>
      <c r="H16" s="34"/>
      <c r="I16" s="34"/>
      <c r="J16" s="33"/>
      <c r="K16" s="34"/>
      <c r="L16" s="34"/>
    </row>
    <row r="17" customFormat="false" ht="37.5" hidden="false" customHeight="true" outlineLevel="0" collapsed="false"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</row>
    <row r="18" customFormat="false" ht="37.5" hidden="false" customHeight="true" outlineLevel="0" collapsed="false">
      <c r="B18" s="34"/>
      <c r="C18" s="34"/>
      <c r="D18" s="34"/>
      <c r="E18" s="34"/>
      <c r="F18" s="34"/>
      <c r="G18" s="34"/>
      <c r="H18" s="34"/>
      <c r="I18" s="34"/>
      <c r="J18" s="33"/>
      <c r="K18" s="34"/>
      <c r="L18" s="34"/>
    </row>
    <row r="19" customFormat="false" ht="37.5" hidden="false" customHeight="true" outlineLevel="0" collapsed="false"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</row>
    <row r="20" customFormat="false" ht="37.5" hidden="false" customHeight="true" outlineLevel="0" collapsed="false">
      <c r="B20" s="34"/>
      <c r="C20" s="34"/>
      <c r="D20" s="34"/>
      <c r="E20" s="34"/>
      <c r="F20" s="34"/>
      <c r="G20" s="34"/>
      <c r="H20" s="34"/>
      <c r="I20" s="34"/>
      <c r="J20" s="33"/>
      <c r="K20" s="34"/>
      <c r="L20" s="34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7" activeCellId="0" sqref="E7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9" min="4" style="0" width="14"/>
    <col collapsed="false" customWidth="true" hidden="false" outlineLevel="0" max="10" min="10" style="0" width="16"/>
    <col collapsed="false" customWidth="true" hidden="false" outlineLevel="0" max="11" min="11" style="0" width="20"/>
  </cols>
  <sheetData>
    <row r="2" customFormat="false" ht="30" hidden="false" customHeight="true" outlineLevel="0" collapsed="false">
      <c r="B2" s="12" t="s">
        <v>430</v>
      </c>
      <c r="C2" s="12"/>
      <c r="D2" s="12"/>
      <c r="E2" s="12"/>
      <c r="F2" s="12"/>
      <c r="G2" s="12"/>
      <c r="H2" s="12"/>
      <c r="I2" s="12"/>
      <c r="J2" s="12"/>
      <c r="K2" s="12"/>
    </row>
    <row r="3" customFormat="false" ht="18" hidden="false" customHeight="true" outlineLevel="0" collapsed="false">
      <c r="B3" s="13" t="s">
        <v>431</v>
      </c>
      <c r="C3" s="13"/>
      <c r="D3" s="13"/>
      <c r="E3" s="13"/>
      <c r="F3" s="13"/>
      <c r="G3" s="13"/>
      <c r="H3" s="13"/>
      <c r="I3" s="13"/>
      <c r="J3" s="13"/>
      <c r="K3" s="13"/>
    </row>
    <row r="5" customFormat="false" ht="30" hidden="false" customHeight="true" outlineLevel="0" collapsed="false">
      <c r="B5" s="14" t="s">
        <v>30</v>
      </c>
      <c r="C5" s="14" t="s">
        <v>432</v>
      </c>
      <c r="D5" s="14" t="s">
        <v>433</v>
      </c>
      <c r="E5" s="14" t="s">
        <v>434</v>
      </c>
      <c r="F5" s="14" t="s">
        <v>435</v>
      </c>
      <c r="G5" s="14" t="s">
        <v>436</v>
      </c>
      <c r="H5" s="14" t="s">
        <v>437</v>
      </c>
      <c r="I5" s="14" t="s">
        <v>438</v>
      </c>
      <c r="J5" s="14" t="s">
        <v>439</v>
      </c>
      <c r="K5" s="14" t="s">
        <v>440</v>
      </c>
      <c r="L5" s="14" t="s">
        <v>441</v>
      </c>
    </row>
    <row r="6" customFormat="false" ht="21.75" hidden="false" customHeight="true" outlineLevel="0" collapsed="false">
      <c r="B6" s="20" t="s">
        <v>442</v>
      </c>
      <c r="C6" s="20"/>
      <c r="D6" s="20"/>
      <c r="E6" s="20"/>
      <c r="F6" s="20"/>
      <c r="G6" s="20"/>
      <c r="H6" s="20"/>
      <c r="I6" s="20"/>
      <c r="J6" s="20"/>
      <c r="K6" s="20"/>
    </row>
    <row r="7" customFormat="false" ht="33.75" hidden="false" customHeight="true" outlineLevel="0" collapsed="false">
      <c r="B7" s="35" t="s">
        <v>40</v>
      </c>
      <c r="C7" s="11" t="s">
        <v>443</v>
      </c>
      <c r="D7" s="36" t="s">
        <v>444</v>
      </c>
      <c r="E7" s="37"/>
      <c r="F7" s="37"/>
      <c r="G7" s="37"/>
      <c r="H7" s="37"/>
      <c r="I7" s="37"/>
      <c r="J7" s="37"/>
      <c r="K7" s="38"/>
      <c r="L7" s="39" t="s">
        <v>445</v>
      </c>
    </row>
    <row r="8" customFormat="false" ht="33.75" hidden="false" customHeight="true" outlineLevel="0" collapsed="false">
      <c r="B8" s="40" t="s">
        <v>49</v>
      </c>
      <c r="C8" s="9" t="s">
        <v>446</v>
      </c>
      <c r="D8" s="36" t="s">
        <v>447</v>
      </c>
      <c r="E8" s="37"/>
      <c r="F8" s="37"/>
      <c r="G8" s="37"/>
      <c r="H8" s="37"/>
      <c r="I8" s="37"/>
      <c r="J8" s="37"/>
      <c r="K8" s="38"/>
      <c r="L8" s="39" t="s">
        <v>445</v>
      </c>
    </row>
    <row r="9" customFormat="false" ht="33.75" hidden="false" customHeight="true" outlineLevel="0" collapsed="false">
      <c r="B9" s="35" t="s">
        <v>58</v>
      </c>
      <c r="C9" s="11" t="s">
        <v>448</v>
      </c>
      <c r="D9" s="36" t="s">
        <v>449</v>
      </c>
      <c r="E9" s="37"/>
      <c r="F9" s="37"/>
      <c r="G9" s="37"/>
      <c r="H9" s="37"/>
      <c r="I9" s="37"/>
      <c r="J9" s="37"/>
      <c r="K9" s="38"/>
      <c r="L9" s="39" t="s">
        <v>445</v>
      </c>
    </row>
    <row r="10" customFormat="false" ht="33.75" hidden="false" customHeight="true" outlineLevel="0" collapsed="false">
      <c r="B10" s="40" t="s">
        <v>63</v>
      </c>
      <c r="C10" s="9" t="s">
        <v>450</v>
      </c>
      <c r="D10" s="36" t="s">
        <v>451</v>
      </c>
      <c r="E10" s="37"/>
      <c r="F10" s="37"/>
      <c r="G10" s="37"/>
      <c r="H10" s="37"/>
      <c r="I10" s="37"/>
      <c r="J10" s="37"/>
      <c r="K10" s="38"/>
      <c r="L10" s="39" t="s">
        <v>445</v>
      </c>
    </row>
    <row r="11" customFormat="false" ht="33.75" hidden="false" customHeight="true" outlineLevel="0" collapsed="false">
      <c r="B11" s="35" t="s">
        <v>70</v>
      </c>
      <c r="C11" s="11" t="s">
        <v>452</v>
      </c>
      <c r="D11" s="36" t="s">
        <v>453</v>
      </c>
      <c r="E11" s="37"/>
      <c r="F11" s="37"/>
      <c r="G11" s="37"/>
      <c r="H11" s="37"/>
      <c r="I11" s="37"/>
      <c r="J11" s="37"/>
      <c r="K11" s="38"/>
      <c r="L11" s="39" t="s">
        <v>445</v>
      </c>
    </row>
    <row r="12" customFormat="false" ht="21.75" hidden="false" customHeight="true" outlineLevel="0" collapsed="false">
      <c r="B12" s="20" t="s">
        <v>454</v>
      </c>
      <c r="C12" s="20"/>
      <c r="D12" s="20"/>
      <c r="E12" s="20"/>
      <c r="F12" s="20"/>
      <c r="G12" s="20"/>
      <c r="H12" s="20"/>
      <c r="I12" s="20"/>
      <c r="J12" s="20"/>
      <c r="K12" s="20"/>
    </row>
    <row r="13" customFormat="false" ht="33.75" hidden="false" customHeight="true" outlineLevel="0" collapsed="false">
      <c r="B13" s="35" t="s">
        <v>79</v>
      </c>
      <c r="C13" s="11" t="s">
        <v>455</v>
      </c>
      <c r="D13" s="36" t="s">
        <v>456</v>
      </c>
      <c r="E13" s="37"/>
      <c r="F13" s="37"/>
      <c r="G13" s="37"/>
      <c r="H13" s="37"/>
      <c r="I13" s="37"/>
      <c r="J13" s="37"/>
      <c r="K13" s="38"/>
      <c r="L13" s="39" t="s">
        <v>445</v>
      </c>
    </row>
    <row r="14" customFormat="false" ht="33.75" hidden="false" customHeight="true" outlineLevel="0" collapsed="false">
      <c r="B14" s="40" t="s">
        <v>86</v>
      </c>
      <c r="C14" s="9" t="s">
        <v>457</v>
      </c>
      <c r="D14" s="36" t="s">
        <v>458</v>
      </c>
      <c r="E14" s="37"/>
      <c r="F14" s="37"/>
      <c r="G14" s="37"/>
      <c r="H14" s="37"/>
      <c r="I14" s="37"/>
      <c r="J14" s="37"/>
      <c r="K14" s="38"/>
      <c r="L14" s="39" t="s">
        <v>445</v>
      </c>
    </row>
    <row r="15" customFormat="false" ht="33.75" hidden="false" customHeight="true" outlineLevel="0" collapsed="false">
      <c r="B15" s="35" t="s">
        <v>94</v>
      </c>
      <c r="C15" s="11" t="s">
        <v>459</v>
      </c>
      <c r="D15" s="36" t="s">
        <v>460</v>
      </c>
      <c r="E15" s="37"/>
      <c r="F15" s="37"/>
      <c r="G15" s="37"/>
      <c r="H15" s="37"/>
      <c r="I15" s="37"/>
      <c r="J15" s="37"/>
      <c r="K15" s="38"/>
      <c r="L15" s="39" t="s">
        <v>445</v>
      </c>
    </row>
    <row r="16" customFormat="false" ht="33.75" hidden="false" customHeight="true" outlineLevel="0" collapsed="false">
      <c r="B16" s="40" t="s">
        <v>102</v>
      </c>
      <c r="C16" s="9" t="s">
        <v>461</v>
      </c>
      <c r="D16" s="36" t="s">
        <v>462</v>
      </c>
      <c r="E16" s="37"/>
      <c r="F16" s="37"/>
      <c r="G16" s="37"/>
      <c r="H16" s="37"/>
      <c r="I16" s="37"/>
      <c r="J16" s="37"/>
      <c r="K16" s="38"/>
      <c r="L16" s="39" t="s">
        <v>445</v>
      </c>
    </row>
    <row r="17" customFormat="false" ht="33.75" hidden="false" customHeight="true" outlineLevel="0" collapsed="false">
      <c r="B17" s="35" t="s">
        <v>109</v>
      </c>
      <c r="C17" s="11" t="s">
        <v>463</v>
      </c>
      <c r="D17" s="36" t="s">
        <v>464</v>
      </c>
      <c r="E17" s="37"/>
      <c r="F17" s="37"/>
      <c r="G17" s="37"/>
      <c r="H17" s="37"/>
      <c r="I17" s="37"/>
      <c r="J17" s="37"/>
      <c r="K17" s="38"/>
      <c r="L17" s="39" t="s">
        <v>445</v>
      </c>
    </row>
    <row r="18" customFormat="false" ht="21.75" hidden="false" customHeight="true" outlineLevel="0" collapsed="false">
      <c r="B18" s="20" t="s">
        <v>465</v>
      </c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33.75" hidden="false" customHeight="true" outlineLevel="0" collapsed="false">
      <c r="B19" s="35" t="s">
        <v>118</v>
      </c>
      <c r="C19" s="11" t="s">
        <v>466</v>
      </c>
      <c r="D19" s="36" t="s">
        <v>447</v>
      </c>
      <c r="E19" s="37"/>
      <c r="F19" s="37"/>
      <c r="G19" s="37"/>
      <c r="H19" s="37"/>
      <c r="I19" s="37"/>
      <c r="J19" s="37"/>
      <c r="K19" s="38"/>
      <c r="L19" s="39" t="s">
        <v>445</v>
      </c>
    </row>
    <row r="20" customFormat="false" ht="33.75" hidden="false" customHeight="true" outlineLevel="0" collapsed="false">
      <c r="B20" s="40" t="s">
        <v>125</v>
      </c>
      <c r="C20" s="9" t="s">
        <v>467</v>
      </c>
      <c r="D20" s="36" t="s">
        <v>449</v>
      </c>
      <c r="E20" s="37"/>
      <c r="F20" s="37"/>
      <c r="G20" s="37"/>
      <c r="H20" s="37"/>
      <c r="I20" s="37"/>
      <c r="J20" s="37"/>
      <c r="K20" s="38"/>
      <c r="L20" s="39" t="s">
        <v>445</v>
      </c>
    </row>
    <row r="21" customFormat="false" ht="33.75" hidden="false" customHeight="true" outlineLevel="0" collapsed="false">
      <c r="B21" s="35" t="s">
        <v>133</v>
      </c>
      <c r="C21" s="11" t="s">
        <v>468</v>
      </c>
      <c r="D21" s="36" t="s">
        <v>444</v>
      </c>
      <c r="E21" s="37"/>
      <c r="F21" s="37"/>
      <c r="G21" s="37"/>
      <c r="H21" s="37"/>
      <c r="I21" s="37"/>
      <c r="J21" s="37"/>
      <c r="K21" s="38"/>
      <c r="L21" s="39" t="s">
        <v>445</v>
      </c>
    </row>
    <row r="22" customFormat="false" ht="33.75" hidden="false" customHeight="true" outlineLevel="0" collapsed="false">
      <c r="B22" s="40" t="s">
        <v>142</v>
      </c>
      <c r="C22" s="9" t="s">
        <v>469</v>
      </c>
      <c r="D22" s="36" t="s">
        <v>444</v>
      </c>
      <c r="E22" s="37"/>
      <c r="F22" s="37"/>
      <c r="G22" s="37"/>
      <c r="H22" s="37"/>
      <c r="I22" s="37"/>
      <c r="J22" s="37"/>
      <c r="K22" s="38"/>
      <c r="L22" s="39" t="s">
        <v>445</v>
      </c>
    </row>
    <row r="23" customFormat="false" ht="33.75" hidden="false" customHeight="true" outlineLevel="0" collapsed="false">
      <c r="B23" s="35" t="s">
        <v>150</v>
      </c>
      <c r="C23" s="11" t="s">
        <v>470</v>
      </c>
      <c r="D23" s="36" t="s">
        <v>471</v>
      </c>
      <c r="E23" s="37"/>
      <c r="F23" s="37"/>
      <c r="G23" s="37"/>
      <c r="H23" s="37"/>
      <c r="I23" s="37"/>
      <c r="J23" s="37"/>
      <c r="K23" s="38"/>
      <c r="L23" s="39" t="s">
        <v>445</v>
      </c>
    </row>
    <row r="24" customFormat="false" ht="21.75" hidden="false" customHeight="true" outlineLevel="0" collapsed="false">
      <c r="B24" s="20" t="s">
        <v>472</v>
      </c>
      <c r="C24" s="20"/>
      <c r="D24" s="20"/>
      <c r="E24" s="20"/>
      <c r="F24" s="20"/>
      <c r="G24" s="20"/>
      <c r="H24" s="20"/>
      <c r="I24" s="20"/>
      <c r="J24" s="20"/>
      <c r="K24" s="20"/>
    </row>
    <row r="25" customFormat="false" ht="33.75" hidden="false" customHeight="true" outlineLevel="0" collapsed="false">
      <c r="B25" s="35" t="s">
        <v>156</v>
      </c>
      <c r="C25" s="11" t="s">
        <v>473</v>
      </c>
      <c r="D25" s="36" t="s">
        <v>444</v>
      </c>
      <c r="E25" s="37"/>
      <c r="F25" s="37"/>
      <c r="G25" s="37"/>
      <c r="H25" s="37"/>
      <c r="I25" s="37"/>
      <c r="J25" s="37"/>
      <c r="K25" s="38"/>
      <c r="L25" s="39" t="s">
        <v>445</v>
      </c>
    </row>
    <row r="26" customFormat="false" ht="33.75" hidden="false" customHeight="true" outlineLevel="0" collapsed="false">
      <c r="B26" s="40" t="s">
        <v>164</v>
      </c>
      <c r="C26" s="9" t="s">
        <v>474</v>
      </c>
      <c r="D26" s="36" t="s">
        <v>458</v>
      </c>
      <c r="E26" s="37"/>
      <c r="F26" s="37"/>
      <c r="G26" s="37"/>
      <c r="H26" s="37"/>
      <c r="I26" s="37"/>
      <c r="J26" s="37"/>
      <c r="K26" s="38"/>
      <c r="L26" s="39" t="s">
        <v>445</v>
      </c>
    </row>
    <row r="27" customFormat="false" ht="33.75" hidden="false" customHeight="true" outlineLevel="0" collapsed="false">
      <c r="B27" s="35" t="s">
        <v>171</v>
      </c>
      <c r="C27" s="11" t="s">
        <v>475</v>
      </c>
      <c r="D27" s="36" t="s">
        <v>444</v>
      </c>
      <c r="E27" s="37"/>
      <c r="F27" s="37"/>
      <c r="G27" s="37"/>
      <c r="H27" s="37"/>
      <c r="I27" s="37"/>
      <c r="J27" s="37"/>
      <c r="K27" s="38"/>
      <c r="L27" s="39" t="s">
        <v>445</v>
      </c>
    </row>
    <row r="28" customFormat="false" ht="33.75" hidden="false" customHeight="true" outlineLevel="0" collapsed="false">
      <c r="B28" s="40" t="s">
        <v>180</v>
      </c>
      <c r="C28" s="9" t="s">
        <v>476</v>
      </c>
      <c r="D28" s="36" t="s">
        <v>477</v>
      </c>
      <c r="E28" s="37"/>
      <c r="F28" s="37"/>
      <c r="G28" s="37"/>
      <c r="H28" s="37"/>
      <c r="I28" s="37"/>
      <c r="J28" s="37"/>
      <c r="K28" s="38"/>
      <c r="L28" s="39" t="s">
        <v>445</v>
      </c>
    </row>
    <row r="29" customFormat="false" ht="33.75" hidden="false" customHeight="true" outlineLevel="0" collapsed="false">
      <c r="B29" s="35" t="s">
        <v>187</v>
      </c>
      <c r="C29" s="11" t="s">
        <v>478</v>
      </c>
      <c r="D29" s="36" t="s">
        <v>479</v>
      </c>
      <c r="E29" s="37"/>
      <c r="F29" s="37"/>
      <c r="G29" s="37"/>
      <c r="H29" s="37"/>
      <c r="I29" s="37"/>
      <c r="J29" s="37"/>
      <c r="K29" s="38"/>
      <c r="L29" s="39" t="s">
        <v>445</v>
      </c>
    </row>
    <row r="31" customFormat="false" ht="18" hidden="false" customHeight="true" outlineLevel="0" collapsed="false">
      <c r="B31" s="41" t="s">
        <v>480</v>
      </c>
      <c r="C31" s="41"/>
      <c r="D31" s="41"/>
      <c r="E31" s="41"/>
      <c r="F31" s="41"/>
      <c r="G31" s="41"/>
      <c r="H31" s="41"/>
      <c r="I31" s="41"/>
      <c r="J31" s="41"/>
      <c r="K31" s="41"/>
    </row>
  </sheetData>
  <mergeCells count="7">
    <mergeCell ref="B2:K2"/>
    <mergeCell ref="B3:K3"/>
    <mergeCell ref="B6:K6"/>
    <mergeCell ref="B12:K12"/>
    <mergeCell ref="B18:K18"/>
    <mergeCell ref="B24:K24"/>
    <mergeCell ref="B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2026-05-07T22:58:53Z</dcterms:created>
  <dc:creator>openpyxl</dc:creator>
  <dc:description/>
  <dc:language>en-US</dc:language>
  <cp:lastModifiedBy>Mauricio Recinos</cp:lastModifiedBy>
  <dcterms:modified xsi:type="dcterms:W3CDTF">2026-05-12T20:30:48Z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